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Plan &amp; 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Picture - Evidence" sheetId="5" state="visible" r:id="rId5"/>
  </sheets>
  <definedNames>
    <definedName name="_xlnm._FilterDatabase" localSheetId="2" hidden="1">'Test Cases'!$A$1:$O$89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color rgb="005B6475"/>
      <sz val="10"/>
    </font>
    <font>
      <b val="1"/>
      <sz val="11"/>
    </font>
    <font>
      <sz val="10"/>
    </font>
    <font>
      <color rgb="000B57D0"/>
      <u val="single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26B3A"/>
      </patternFill>
    </fill>
    <fill>
      <patternFill patternType="solid">
        <fgColor rgb="00F3F4F6"/>
      </patternFill>
    </fill>
    <fill>
      <patternFill patternType="solid">
        <fgColor rgb="00FDE3D8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9" fontId="0" fillId="0" borderId="1" pivotButton="0" quotePrefix="0" xfId="0"/>
    <xf numFmtId="0" fontId="8" fillId="4" borderId="1" pivotButton="0" quotePrefix="0" xfId="0"/>
    <xf numFmtId="9" fontId="0" fillId="4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05603A"/>
      </font>
      <fill>
        <patternFill patternType="solid">
          <fgColor rgb="00D1FADF"/>
        </patternFill>
      </fill>
    </dxf>
    <dxf>
      <font>
        <b val="1"/>
        <color rgb="00B42318"/>
      </font>
      <fill>
        <patternFill patternType="solid">
          <fgColor rgb="00FE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50" customWidth="1" min="3" max="3"/>
  </cols>
  <sheetData>
    <row r="2">
      <c r="B2" s="1" t="inlineStr">
        <is>
          <t>empeo Registration — Automation Test Report (Gofive · Automate Tester Exam 1.0)</t>
        </is>
      </c>
    </row>
    <row r="3">
      <c r="B3" s="2" t="inlineStr">
        <is>
          <t>Candidate: Newyear (Yatichapat Kanta)  ·  Role: Automate QA Engineer (Gofive online assessment, part 6)  ·  27 Oct 2026</t>
        </is>
      </c>
    </row>
    <row r="5">
      <c r="B5" s="3" t="inlineStr">
        <is>
          <t>How this workbook is organized</t>
        </is>
      </c>
    </row>
    <row r="6">
      <c r="B6" s="4" t="inlineStr">
        <is>
          <t>•</t>
        </is>
      </c>
      <c r="C6" s="5" t="inlineStr">
        <is>
          <t>Test Plan &amp; Summary — project info, scope, test data, and an auto-calculated Pass/Fail dashboard per module (do not edit the dashboard formulas).</t>
        </is>
      </c>
    </row>
    <row r="7">
      <c r="B7" s="4" t="inlineStr">
        <is>
          <t>•</t>
        </is>
      </c>
      <c r="C7" s="5" t="inlineStr">
        <is>
          <t>Test Cases — one flat, filterable table: 24 scenarios across 5 modules (Registration form, OTP verification, Promo code, Validation / error handling, Edge cases – phone), one row per step.</t>
        </is>
      </c>
    </row>
    <row r="8">
      <c r="B8" s="4" t="inlineStr">
        <is>
          <t>•</t>
        </is>
      </c>
      <c r="C8" s="5" t="inlineStr">
        <is>
          <t>Bug Report — 6 findings observed on UAT (UX gaps, items that need PO confirmation, and an intermittent slow redirect), each with steps, evidence and the related test case.</t>
        </is>
      </c>
    </row>
    <row r="9">
      <c r="B9" s="4" t="inlineStr">
        <is>
          <t>•</t>
        </is>
      </c>
      <c r="C9" s="5" t="inlineStr">
        <is>
          <t>Picture - Evidence — every screenshot with a preview and a link (GitHub repo docs/), plus links to the videos and the HTML report.</t>
        </is>
      </c>
    </row>
    <row r="11">
      <c r="B11" s="3" t="inlineStr">
        <is>
          <t>How the Test Cases were executed</t>
        </is>
      </c>
    </row>
    <row r="12">
      <c r="B12" s="4" t="inlineStr">
        <is>
          <t>•</t>
        </is>
      </c>
      <c r="C12" s="5" t="inlineStr">
        <is>
          <t>All scenarios were executed automatically with Playwright Test (JavaScript) on https://portal.uat.gofive.co.th/Register/empeo; each Scenario ID is also the automated test title, e.g. "TC-OTP-02 …".</t>
        </is>
      </c>
    </row>
    <row r="13">
      <c r="B13" s="4" t="inlineStr">
        <is>
          <t>•</t>
        </is>
      </c>
      <c r="C13" s="5" t="inlineStr">
        <is>
          <t>Pass / Fail is filled ONLY on the LAST step row of each Scenario ID — this is what the Summary dashboard counts. Earlier steps show 'As expected' in Actual Result.</t>
        </is>
      </c>
    </row>
    <row r="14">
      <c r="B14" s="4" t="inlineStr">
        <is>
          <t>•</t>
        </is>
      </c>
      <c r="C14" s="5" t="inlineStr">
        <is>
          <t>Pass / Fail comes from the final full run on the tester's machine (Windows 11, Chromium). Run history is in Test Plan &amp; Summary.</t>
        </is>
      </c>
    </row>
    <row r="15">
      <c r="B15" s="4" t="inlineStr">
        <is>
          <t>•</t>
        </is>
      </c>
      <c r="C15" s="5" t="inlineStr">
        <is>
          <t>'Evidence' links open the screenshot on GitHub; the Remark column names the spec file › test, so the same case can be found in the HTML report.</t>
        </is>
      </c>
    </row>
    <row r="16">
      <c r="B16" s="4" t="inlineStr">
        <is>
          <t>•</t>
        </is>
      </c>
      <c r="C16" s="5" t="inlineStr">
        <is>
          <t>Data-driven cases (e.g. TC-VAL-02 ×5, TC-PRM-02 ×3) are one scenario here but several automated runs: 24 scenarios = 35 automated runs.</t>
        </is>
      </c>
    </row>
    <row r="18">
      <c r="B18" s="3" t="inlineStr">
        <is>
          <t>How bugs are logged</t>
        </is>
      </c>
    </row>
    <row r="19">
      <c r="B19" s="4" t="inlineStr">
        <is>
          <t>•</t>
        </is>
      </c>
      <c r="C19" s="5" t="inlineStr">
        <is>
          <t>Every finding gets one row in Bug Report; none of the 35 automated checks fail on the final run, so the findings are UX / requirement / environment observations, not failed assertions.</t>
        </is>
      </c>
    </row>
    <row r="20">
      <c r="B20" s="4" t="inlineStr">
        <is>
          <t>•</t>
        </is>
      </c>
      <c r="C20" s="5" t="inlineStr">
        <is>
          <t>'Related Test Case' links back to the Scenario ID (e.g. 'TC-VAL-05') that shows the behaviour.</t>
        </is>
      </c>
    </row>
    <row r="21">
      <c r="B21" s="4" t="inlineStr">
        <is>
          <t>•</t>
        </is>
      </c>
      <c r="C21" s="5" t="inlineStr">
        <is>
          <t>Status: 'Open' = behaviour to fix; 'Need clarification' = rule not defined in the brief (ask PO); 'Observed (intermittent)' = UAT timing issue.</t>
        </is>
      </c>
    </row>
    <row r="22">
      <c r="B22" s="4" t="inlineStr">
        <is>
          <t>•</t>
        </is>
      </c>
      <c r="C22" s="5" t="inlineStr">
        <is>
          <t>'Picture / Evidence' is a clickable link to the screenshot (GitHub) — same files as the Drive folder 'Evident Photo'.</t>
        </is>
      </c>
    </row>
    <row r="24">
      <c r="B24" s="3" t="inlineStr">
        <is>
          <t>Color legend</t>
        </is>
      </c>
    </row>
    <row r="25">
      <c r="B25" s="4" t="inlineStr">
        <is>
          <t>•</t>
        </is>
      </c>
      <c r="C25" s="5" t="inlineStr">
        <is>
          <t>Orange header = sheet header row.</t>
        </is>
      </c>
    </row>
    <row r="26">
      <c r="B26" s="4" t="inlineStr">
        <is>
          <t>•</t>
        </is>
      </c>
      <c r="C26" s="5" t="inlineStr">
        <is>
          <t>Grey rows = alternate scenarios (readability only).</t>
        </is>
      </c>
    </row>
    <row r="27">
      <c r="B27" s="4" t="inlineStr">
        <is>
          <t>•</t>
        </is>
      </c>
      <c r="C27" s="5" t="inlineStr">
        <is>
          <t>Green / Red in Pass-Fail cells = conditional formatting, updates automatically.</t>
        </is>
      </c>
    </row>
    <row r="29">
      <c r="B29" s="3" t="inlineStr">
        <is>
          <t>Links</t>
        </is>
      </c>
    </row>
    <row r="30">
      <c r="B30" s="4" t="inlineStr">
        <is>
          <t>•</t>
        </is>
      </c>
      <c r="C30" s="6">
        <f>HYPERLINK("https://github.com/Yatichapat6510/empeo-registration-tests","GitHub repository (code, README, test case docs): https://github.com/Yatichapat6510/empeo-registration-tests")</f>
        <v/>
      </c>
    </row>
    <row r="31">
      <c r="B31" s="4" t="inlineStr">
        <is>
          <t>•</t>
        </is>
      </c>
      <c r="C31" s="6">
        <f>HYPERLINK("https://drive.google.com/drive/folders/1X-i7e-JlTXuE6q1Cv5BMVRRIkGONhn_q","Google Drive folder (this workbook, Evident Photo, Video)")</f>
        <v/>
      </c>
    </row>
    <row r="32">
      <c r="B32" s="4" t="inlineStr">
        <is>
          <t>•</t>
        </is>
      </c>
      <c r="C32" s="6">
        <f>HYPERLINK("https://drive.google.com/file/d/15qjjIL-YVDhUihsYCpx1IiIzDr7kI9Cy/view","Video – headed run recorded on screen (Drive)")</f>
        <v/>
      </c>
    </row>
    <row r="33">
      <c r="B33" s="4" t="inlineStr">
        <is>
          <t>•</t>
        </is>
      </c>
      <c r="C33" s="6">
        <f>HYPERLINK("https://github.com/Yatichapat6510/empeo-registration-tests/blob/main/docs/demo/automation-run.mp4","Video – Playwright recording of all 35 tests, 8 min (GitHub docs/demo/automation-run.mp4)")</f>
        <v/>
      </c>
    </row>
    <row r="34">
      <c r="B34" s="4" t="inlineStr">
        <is>
          <t>•</t>
        </is>
      </c>
      <c r="C34" s="6">
        <f>HYPERLINK("https://github.com/Yatichapat6510/empeo-registration-tests/blob/main/README.md","README – how to run, design decisions, findings, assumptions")</f>
        <v/>
      </c>
    </row>
    <row r="36">
      <c r="B36" s="3" t="inlineStr">
        <is>
          <t>Test environment reference</t>
        </is>
      </c>
    </row>
    <row r="37">
      <c r="B37" s="4" t="inlineStr">
        <is>
          <t>•</t>
        </is>
      </c>
      <c r="C37" s="5" t="inlineStr">
        <is>
          <t>Register page: https://portal.uat.gofive.co.th/Register/empeo (UAT, Thai UI)</t>
        </is>
      </c>
    </row>
    <row r="38">
      <c r="B38" s="4" t="inlineStr">
        <is>
          <t>•</t>
        </is>
      </c>
      <c r="C38" s="5" t="inlineStr">
        <is>
          <t>Fixed test data from the brief: phone 0967690708 · OTP 123456 · promo code FREE15DAY</t>
        </is>
      </c>
    </row>
    <row r="39">
      <c r="B39" s="4" t="inlineStr">
        <is>
          <t>•</t>
        </is>
      </c>
      <c r="C39" s="5" t="inlineStr">
        <is>
          <t>Other data is generated per test: unique company name + unique e-mail domain (the system allows one account per e-mail domain).</t>
        </is>
      </c>
    </row>
    <row r="40">
      <c r="B40" s="4" t="inlineStr">
        <is>
          <t>•</t>
        </is>
      </c>
      <c r="C40" s="5" t="inlineStr">
        <is>
          <t>Run locally: npm ci → npx playwright install chromium → npx playwright test → npx playwright show-report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>
      <c r="A1" s="7" t="inlineStr">
        <is>
          <t>Test Plan &amp; Summary</t>
        </is>
      </c>
    </row>
    <row r="3">
      <c r="A3" s="8" t="inlineStr">
        <is>
          <t>Project Name</t>
        </is>
      </c>
      <c r="B3" s="9" t="inlineStr">
        <is>
          <t>empeo – Free-trial Registration</t>
        </is>
      </c>
      <c r="C3" s="10" t="n"/>
      <c r="D3" s="10" t="n"/>
      <c r="E3" s="10" t="n"/>
      <c r="F3" s="10" t="n"/>
      <c r="G3" s="10" t="n"/>
      <c r="H3" s="10" t="n"/>
      <c r="I3" s="11" t="n"/>
    </row>
    <row r="4">
      <c r="A4" s="8" t="inlineStr">
        <is>
          <t>Document Name</t>
        </is>
      </c>
      <c r="B4" s="9" t="inlineStr">
        <is>
          <t>Test Scripts – Automation Tester Exam 1.0</t>
        </is>
      </c>
      <c r="C4" s="10" t="n"/>
      <c r="D4" s="10" t="n"/>
      <c r="E4" s="10" t="n"/>
      <c r="F4" s="10" t="n"/>
      <c r="G4" s="10" t="n"/>
      <c r="H4" s="10" t="n"/>
      <c r="I4" s="11" t="n"/>
    </row>
    <row r="5">
      <c r="A5" s="8" t="inlineStr">
        <is>
          <t>Candidate / Tester</t>
        </is>
      </c>
      <c r="B5" s="9" t="inlineStr">
        <is>
          <t>Newyear (Yatichapat Kanta)</t>
        </is>
      </c>
      <c r="C5" s="10" t="n"/>
      <c r="D5" s="10" t="n"/>
      <c r="E5" s="10" t="n"/>
      <c r="F5" s="10" t="n"/>
      <c r="G5" s="10" t="n"/>
      <c r="H5" s="10" t="n"/>
      <c r="I5" s="11" t="n"/>
    </row>
    <row r="6">
      <c r="A6" s="8" t="inlineStr">
        <is>
          <t>Role</t>
        </is>
      </c>
      <c r="B6" s="9" t="inlineStr">
        <is>
          <t>Automation Tester</t>
        </is>
      </c>
      <c r="C6" s="10" t="n"/>
      <c r="D6" s="10" t="n"/>
      <c r="E6" s="10" t="n"/>
      <c r="F6" s="10" t="n"/>
      <c r="G6" s="10" t="n"/>
      <c r="H6" s="10" t="n"/>
      <c r="I6" s="11" t="n"/>
    </row>
    <row r="7">
      <c r="A7" s="8" t="inlineStr">
        <is>
          <t>Created</t>
        </is>
      </c>
      <c r="B7" s="9" t="inlineStr">
        <is>
          <t>27/10/2026</t>
        </is>
      </c>
      <c r="C7" s="10" t="n"/>
      <c r="D7" s="10" t="n"/>
      <c r="E7" s="10" t="n"/>
      <c r="F7" s="10" t="n"/>
      <c r="G7" s="10" t="n"/>
      <c r="H7" s="10" t="n"/>
      <c r="I7" s="11" t="n"/>
    </row>
    <row r="8">
      <c r="A8" s="8" t="inlineStr">
        <is>
          <t>Environment</t>
        </is>
      </c>
      <c r="B8" s="9" t="inlineStr">
        <is>
          <t>UAT https://portal.uat.gofive.co.th/Register/empeo · Windows 11 · Chromium (Playwright 1.64.1) · TH locale</t>
        </is>
      </c>
      <c r="C8" s="10" t="n"/>
      <c r="D8" s="10" t="n"/>
      <c r="E8" s="10" t="n"/>
      <c r="F8" s="10" t="n"/>
      <c r="G8" s="10" t="n"/>
      <c r="H8" s="10" t="n"/>
      <c r="I8" s="11" t="n"/>
    </row>
    <row r="9">
      <c r="A9" s="8" t="inlineStr">
        <is>
          <t>Test Data</t>
        </is>
      </c>
      <c r="B9" s="9" t="inlineStr">
        <is>
          <t>Phone 0967690708 · OTP 123456 · Promo FREE15DAY · other data generated per test (unique company + e-mail domain)</t>
        </is>
      </c>
      <c r="C9" s="10" t="n"/>
      <c r="D9" s="10" t="n"/>
      <c r="E9" s="10" t="n"/>
      <c r="F9" s="10" t="n"/>
      <c r="G9" s="10" t="n"/>
      <c r="H9" s="10" t="n"/>
      <c r="I9" s="11" t="n"/>
    </row>
    <row r="10">
      <c r="A10" s="8" t="inlineStr">
        <is>
          <t>Scope</t>
        </is>
      </c>
      <c r="B10" s="9" t="inlineStr">
        <is>
          <t>Successful registration, OTP verification, promo code validation, required fields &amp; error handling, edge cases (invalid phone, expired OTP, reused promo)</t>
        </is>
      </c>
      <c r="C10" s="10" t="n"/>
      <c r="D10" s="10" t="n"/>
      <c r="E10" s="10" t="n"/>
      <c r="F10" s="10" t="n"/>
      <c r="G10" s="10" t="n"/>
      <c r="H10" s="10" t="n"/>
      <c r="I10" s="11" t="n"/>
    </row>
    <row r="11">
      <c r="A11" s="8" t="inlineStr">
        <is>
          <t>Out of scope</t>
        </is>
      </c>
      <c r="B11" s="9" t="inlineStr">
        <is>
          <t>Thai-company (tax ID lookup) path; real OTP expiry time; SMS delivery</t>
        </is>
      </c>
      <c r="C11" s="10" t="n"/>
      <c r="D11" s="10" t="n"/>
      <c r="E11" s="10" t="n"/>
      <c r="F11" s="10" t="n"/>
      <c r="G11" s="10" t="n"/>
      <c r="H11" s="10" t="n"/>
      <c r="I11" s="11" t="n"/>
    </row>
    <row r="12">
      <c r="A12" s="8" t="inlineStr">
        <is>
          <t>Automation</t>
        </is>
      </c>
      <c r="B12" s="9" t="inlineStr">
        <is>
          <t>Playwright Test 1.64 (JavaScript), POM + fixtures, 24 cases / 35 automated runs</t>
        </is>
      </c>
      <c r="C12" s="10" t="n"/>
      <c r="D12" s="10" t="n"/>
      <c r="E12" s="10" t="n"/>
      <c r="F12" s="10" t="n"/>
      <c r="G12" s="10" t="n"/>
      <c r="H12" s="10" t="n"/>
      <c r="I12" s="11" t="n"/>
    </row>
    <row r="14">
      <c r="A14" s="12" t="inlineStr">
        <is>
          <t>Dashboard</t>
        </is>
      </c>
    </row>
    <row r="15">
      <c r="A15" s="13" t="inlineStr">
        <is>
          <t>Module</t>
        </is>
      </c>
      <c r="B15" s="13" t="inlineStr">
        <is>
          <t>Total Test Cases</t>
        </is>
      </c>
      <c r="C15" s="13" t="inlineStr">
        <is>
          <t>Pass</t>
        </is>
      </c>
      <c r="D15" s="13" t="inlineStr">
        <is>
          <t>Fail</t>
        </is>
      </c>
      <c r="E15" s="13" t="inlineStr">
        <is>
          <t>Blocked</t>
        </is>
      </c>
      <c r="F15" s="13" t="inlineStr">
        <is>
          <t>N/A</t>
        </is>
      </c>
      <c r="G15" s="13" t="inlineStr">
        <is>
          <t>Not Executed</t>
        </is>
      </c>
      <c r="H15" s="13" t="inlineStr">
        <is>
          <t>% Complete</t>
        </is>
      </c>
      <c r="I15" s="13" t="inlineStr">
        <is>
          <t>% Pass Rate</t>
        </is>
      </c>
    </row>
    <row r="16">
      <c r="A16" s="14" t="inlineStr">
        <is>
          <t>Registration form</t>
        </is>
      </c>
      <c r="B16" s="14">
        <f>COUNTIFS('Test Cases'!$A$2:$A$89,A16,'Test Cases'!$K$2:$K$89,"&lt;&gt;")</f>
        <v/>
      </c>
      <c r="C16" s="14">
        <f>COUNTIFS('Test Cases'!$A$2:$A$89,$A16,'Test Cases'!$K$2:$K$89,"Pass")</f>
        <v/>
      </c>
      <c r="D16" s="14">
        <f>COUNTIFS('Test Cases'!$A$2:$A$89,$A16,'Test Cases'!$K$2:$K$89,"Fail")</f>
        <v/>
      </c>
      <c r="E16" s="14">
        <f>COUNTIFS('Test Cases'!$A$2:$A$89,$A16,'Test Cases'!$K$2:$K$89,"Blocked")</f>
        <v/>
      </c>
      <c r="F16" s="14">
        <f>COUNTIFS('Test Cases'!$A$2:$A$89,$A16,'Test Cases'!$K$2:$K$89,"N/A")</f>
        <v/>
      </c>
      <c r="G16" s="14">
        <f>COUNTIFS('Test Cases'!$A$2:$A$89,$A16,'Test Cases'!$K$2:$K$89,"Not Executed")</f>
        <v/>
      </c>
      <c r="H16" s="15">
        <f>IF(B16=0,0,(C16+D16+E16+F16)/B16)</f>
        <v/>
      </c>
      <c r="I16" s="15">
        <f>IF((C16+D16)=0,0,C16/(C16+D16))</f>
        <v/>
      </c>
    </row>
    <row r="17">
      <c r="A17" s="14" t="inlineStr">
        <is>
          <t>OTP verification</t>
        </is>
      </c>
      <c r="B17" s="14">
        <f>COUNTIFS('Test Cases'!$A$2:$A$89,A17,'Test Cases'!$K$2:$K$89,"&lt;&gt;")</f>
        <v/>
      </c>
      <c r="C17" s="14">
        <f>COUNTIFS('Test Cases'!$A$2:$A$89,$A17,'Test Cases'!$K$2:$K$89,"Pass")</f>
        <v/>
      </c>
      <c r="D17" s="14">
        <f>COUNTIFS('Test Cases'!$A$2:$A$89,$A17,'Test Cases'!$K$2:$K$89,"Fail")</f>
        <v/>
      </c>
      <c r="E17" s="14">
        <f>COUNTIFS('Test Cases'!$A$2:$A$89,$A17,'Test Cases'!$K$2:$K$89,"Blocked")</f>
        <v/>
      </c>
      <c r="F17" s="14">
        <f>COUNTIFS('Test Cases'!$A$2:$A$89,$A17,'Test Cases'!$K$2:$K$89,"N/A")</f>
        <v/>
      </c>
      <c r="G17" s="14">
        <f>COUNTIFS('Test Cases'!$A$2:$A$89,$A17,'Test Cases'!$K$2:$K$89,"Not Executed")</f>
        <v/>
      </c>
      <c r="H17" s="15">
        <f>IF(B17=0,0,(C17+D17+E17+F17)/B17)</f>
        <v/>
      </c>
      <c r="I17" s="15">
        <f>IF((C17+D17)=0,0,C17/(C17+D17))</f>
        <v/>
      </c>
    </row>
    <row r="18">
      <c r="A18" s="14" t="inlineStr">
        <is>
          <t>Promo code</t>
        </is>
      </c>
      <c r="B18" s="14">
        <f>COUNTIFS('Test Cases'!$A$2:$A$89,A18,'Test Cases'!$K$2:$K$89,"&lt;&gt;")</f>
        <v/>
      </c>
      <c r="C18" s="14">
        <f>COUNTIFS('Test Cases'!$A$2:$A$89,$A18,'Test Cases'!$K$2:$K$89,"Pass")</f>
        <v/>
      </c>
      <c r="D18" s="14">
        <f>COUNTIFS('Test Cases'!$A$2:$A$89,$A18,'Test Cases'!$K$2:$K$89,"Fail")</f>
        <v/>
      </c>
      <c r="E18" s="14">
        <f>COUNTIFS('Test Cases'!$A$2:$A$89,$A18,'Test Cases'!$K$2:$K$89,"Blocked")</f>
        <v/>
      </c>
      <c r="F18" s="14">
        <f>COUNTIFS('Test Cases'!$A$2:$A$89,$A18,'Test Cases'!$K$2:$K$89,"N/A")</f>
        <v/>
      </c>
      <c r="G18" s="14">
        <f>COUNTIFS('Test Cases'!$A$2:$A$89,$A18,'Test Cases'!$K$2:$K$89,"Not Executed")</f>
        <v/>
      </c>
      <c r="H18" s="15">
        <f>IF(B18=0,0,(C18+D18+E18+F18)/B18)</f>
        <v/>
      </c>
      <c r="I18" s="15">
        <f>IF((C18+D18)=0,0,C18/(C18+D18))</f>
        <v/>
      </c>
    </row>
    <row r="19">
      <c r="A19" s="14" t="inlineStr">
        <is>
          <t>Validation / error handling</t>
        </is>
      </c>
      <c r="B19" s="14">
        <f>COUNTIFS('Test Cases'!$A$2:$A$89,A19,'Test Cases'!$K$2:$K$89,"&lt;&gt;")</f>
        <v/>
      </c>
      <c r="C19" s="14">
        <f>COUNTIFS('Test Cases'!$A$2:$A$89,$A19,'Test Cases'!$K$2:$K$89,"Pass")</f>
        <v/>
      </c>
      <c r="D19" s="14">
        <f>COUNTIFS('Test Cases'!$A$2:$A$89,$A19,'Test Cases'!$K$2:$K$89,"Fail")</f>
        <v/>
      </c>
      <c r="E19" s="14">
        <f>COUNTIFS('Test Cases'!$A$2:$A$89,$A19,'Test Cases'!$K$2:$K$89,"Blocked")</f>
        <v/>
      </c>
      <c r="F19" s="14">
        <f>COUNTIFS('Test Cases'!$A$2:$A$89,$A19,'Test Cases'!$K$2:$K$89,"N/A")</f>
        <v/>
      </c>
      <c r="G19" s="14">
        <f>COUNTIFS('Test Cases'!$A$2:$A$89,$A19,'Test Cases'!$K$2:$K$89,"Not Executed")</f>
        <v/>
      </c>
      <c r="H19" s="15">
        <f>IF(B19=0,0,(C19+D19+E19+F19)/B19)</f>
        <v/>
      </c>
      <c r="I19" s="15">
        <f>IF((C19+D19)=0,0,C19/(C19+D19))</f>
        <v/>
      </c>
    </row>
    <row r="20">
      <c r="A20" s="14" t="inlineStr">
        <is>
          <t>Edge cases – phone</t>
        </is>
      </c>
      <c r="B20" s="14">
        <f>COUNTIFS('Test Cases'!$A$2:$A$89,A20,'Test Cases'!$K$2:$K$89,"&lt;&gt;")</f>
        <v/>
      </c>
      <c r="C20" s="14">
        <f>COUNTIFS('Test Cases'!$A$2:$A$89,$A20,'Test Cases'!$K$2:$K$89,"Pass")</f>
        <v/>
      </c>
      <c r="D20" s="14">
        <f>COUNTIFS('Test Cases'!$A$2:$A$89,$A20,'Test Cases'!$K$2:$K$89,"Fail")</f>
        <v/>
      </c>
      <c r="E20" s="14">
        <f>COUNTIFS('Test Cases'!$A$2:$A$89,$A20,'Test Cases'!$K$2:$K$89,"Blocked")</f>
        <v/>
      </c>
      <c r="F20" s="14">
        <f>COUNTIFS('Test Cases'!$A$2:$A$89,$A20,'Test Cases'!$K$2:$K$89,"N/A")</f>
        <v/>
      </c>
      <c r="G20" s="14">
        <f>COUNTIFS('Test Cases'!$A$2:$A$89,$A20,'Test Cases'!$K$2:$K$89,"Not Executed")</f>
        <v/>
      </c>
      <c r="H20" s="15">
        <f>IF(B20=0,0,(C20+D20+E20+F20)/B20)</f>
        <v/>
      </c>
      <c r="I20" s="15">
        <f>IF((C20+D20)=0,0,C20/(C20+D20))</f>
        <v/>
      </c>
    </row>
    <row r="21">
      <c r="A21" s="16" t="inlineStr">
        <is>
          <t>Total</t>
        </is>
      </c>
      <c r="B21" s="16">
        <f>SUM(B16:B20)</f>
        <v/>
      </c>
      <c r="C21" s="16">
        <f>SUM(C16:C20)</f>
        <v/>
      </c>
      <c r="D21" s="16">
        <f>SUM(D16:D20)</f>
        <v/>
      </c>
      <c r="E21" s="16">
        <f>SUM(E16:E20)</f>
        <v/>
      </c>
      <c r="F21" s="16">
        <f>SUM(F16:F20)</f>
        <v/>
      </c>
      <c r="G21" s="16">
        <f>SUM(G16:G20)</f>
        <v/>
      </c>
      <c r="H21" s="17">
        <f>IF(B21=0,0,(C21+D21+E21+F21)/B21)</f>
        <v/>
      </c>
      <c r="I21" s="17">
        <f>IF((C21+D21)=0,0,C21/(C21+D21))</f>
        <v/>
      </c>
    </row>
    <row r="23">
      <c r="A23" s="18" t="inlineStr">
        <is>
          <t>Run history (27/10/2026)</t>
        </is>
      </c>
    </row>
    <row r="24">
      <c r="B24" t="inlineStr">
        <is>
          <t>15:59  npx playwright test (4 workers) – 35 passed / 0 failed, 2.2 min</t>
        </is>
      </c>
    </row>
    <row r="25">
      <c r="B25" t="inlineStr">
        <is>
          <t>16:08  npm run test:video (video + trace for every test) – 35 passed / 0 failed, 4.0 min</t>
        </is>
      </c>
    </row>
    <row r="26">
      <c r="B26" t="inlineStr">
        <is>
          <t>16:47  npx playwright test (tester's run) – 33 passed / 2 failed: TC-OTP-01, TC-OTP-03 (redirect after OTP took &gt; 10 s on UAT → BUG-06)</t>
        </is>
      </c>
    </row>
    <row r="27">
      <c r="B27" t="inlineStr">
        <is>
          <t xml:space="preserve">        Fix: wait for set-password page up to 30 s, dropdown/checkbox clicks retried, 1 retry on UAT (retries are reported as "flaky", not hidden)</t>
        </is>
      </c>
    </row>
    <row r="28">
      <c r="B28" t="inlineStr">
        <is>
          <t>17:13  FINAL – npx playwright test (2 workers, 1 retry) – 35 passed / 0 failed / 0 flaky, 3.0 min  ← result used in Test Cases</t>
        </is>
      </c>
    </row>
  </sheetData>
  <mergeCells count="10">
    <mergeCell ref="B9:I9"/>
    <mergeCell ref="B12:I12"/>
    <mergeCell ref="B7:I7"/>
    <mergeCell ref="B11:I11"/>
    <mergeCell ref="B6:I6"/>
    <mergeCell ref="B10:I10"/>
    <mergeCell ref="B3:I3"/>
    <mergeCell ref="B5:I5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34" customWidth="1" min="4" max="4"/>
    <col width="7" customWidth="1" min="5" max="5"/>
    <col width="14" customWidth="1" min="6" max="6"/>
    <col width="42" customWidth="1" min="7" max="7"/>
    <col width="18" customWidth="1" min="8" max="8"/>
    <col width="46" customWidth="1" min="9" max="9"/>
    <col width="30" customWidth="1" min="10" max="10"/>
    <col width="10" customWidth="1" min="11" max="11"/>
    <col width="22" customWidth="1" min="12" max="12"/>
    <col width="16" customWidth="1" min="13" max="13"/>
    <col width="11" customWidth="1" min="14" max="14"/>
    <col width="34" customWidth="1" min="15" max="15"/>
  </cols>
  <sheetData>
    <row r="1">
      <c r="A1" s="13" t="inlineStr">
        <is>
          <t>Module</t>
        </is>
      </c>
      <c r="B1" s="13" t="inlineStr">
        <is>
          <t>Scenario ID</t>
        </is>
      </c>
      <c r="C1" s="13" t="inlineStr">
        <is>
          <t>Type</t>
        </is>
      </c>
      <c r="D1" s="13" t="inlineStr">
        <is>
          <t>Scenario</t>
        </is>
      </c>
      <c r="E1" s="13" t="inlineStr">
        <is>
          <t>Step No</t>
        </is>
      </c>
      <c r="F1" s="13" t="inlineStr">
        <is>
          <t>Function</t>
        </is>
      </c>
      <c r="G1" s="13" t="inlineStr">
        <is>
          <t>Condition / Procedure</t>
        </is>
      </c>
      <c r="H1" s="13" t="inlineStr">
        <is>
          <t>Checking</t>
        </is>
      </c>
      <c r="I1" s="13" t="inlineStr">
        <is>
          <t>Expected Result</t>
        </is>
      </c>
      <c r="J1" s="13" t="inlineStr">
        <is>
          <t>Actual Result</t>
        </is>
      </c>
      <c r="K1" s="13" t="inlineStr">
        <is>
          <t>Pass / Fail</t>
        </is>
      </c>
      <c r="L1" s="13" t="inlineStr">
        <is>
          <t>Evidence (Screenshot)</t>
        </is>
      </c>
      <c r="M1" s="13" t="inlineStr">
        <is>
          <t>Tester</t>
        </is>
      </c>
      <c r="N1" s="13" t="inlineStr">
        <is>
          <t>Test Date</t>
        </is>
      </c>
      <c r="O1" s="13" t="inlineStr">
        <is>
          <t>Remark (automated test)</t>
        </is>
      </c>
    </row>
    <row r="2">
      <c r="A2" s="9" t="inlineStr">
        <is>
          <t>Registration form</t>
        </is>
      </c>
      <c r="B2" s="9" t="inlineStr">
        <is>
          <t>TC-REG-01</t>
        </is>
      </c>
      <c r="C2" s="9" t="inlineStr">
        <is>
          <t>Normal case</t>
        </is>
      </c>
      <c r="D2" s="9" t="inlineStr">
        <is>
          <t>Register with valid data + promo FREE15DAY, verify OTP, set password</t>
        </is>
      </c>
      <c r="E2" s="9" t="inlineStr">
        <is>
          <t>01.1</t>
        </is>
      </c>
      <c r="F2" s="9" t="inlineStr">
        <is>
          <t>Open page</t>
        </is>
      </c>
      <c r="G2" s="9" t="inlineStr">
        <is>
          <t>Open /Register/empeo</t>
        </is>
      </c>
      <c r="H2" s="9" t="inlineStr">
        <is>
          <t>Redirect Screen</t>
        </is>
      </c>
      <c r="I2" s="9" t="inlineStr">
        <is>
          <t>Registration form "ทดลองใช้งาน empeo ฟรี!" is shown</t>
        </is>
      </c>
      <c r="J2" s="9" t="inlineStr">
        <is>
          <t>As expected</t>
        </is>
      </c>
      <c r="K2" s="9" t="inlineStr"/>
      <c r="L2" s="9" t="inlineStr"/>
      <c r="M2" s="9" t="inlineStr"/>
      <c r="N2" s="9" t="inlineStr"/>
      <c r="O2" s="9" t="inlineStr"/>
    </row>
    <row r="3">
      <c r="A3" s="9" t="inlineStr">
        <is>
          <t>Registration form</t>
        </is>
      </c>
      <c r="B3" s="9" t="inlineStr">
        <is>
          <t>TC-REG-01</t>
        </is>
      </c>
      <c r="C3" s="9" t="inlineStr">
        <is>
          <t>Normal case</t>
        </is>
      </c>
      <c r="D3" s="9" t="inlineStr"/>
      <c r="E3" s="9" t="inlineStr">
        <is>
          <t>01.2</t>
        </is>
      </c>
      <c r="F3" s="9" t="inlineStr">
        <is>
          <t>Fill form</t>
        </is>
      </c>
      <c r="G3" s="9" t="inlineStr">
        <is>
          <t>Select "อื่นๆ"; company name (unique); business type "เทคโนโลยี"; users "1-20"; unique e-mail; first/last name; phone 0967690708; tick consent</t>
        </is>
      </c>
      <c r="H3" s="9" t="inlineStr">
        <is>
          <t>Fields for filling</t>
        </is>
      </c>
      <c r="I3" s="9" t="inlineStr">
        <is>
          <t>All fields accept the values, no error</t>
        </is>
      </c>
      <c r="J3" s="9" t="inlineStr">
        <is>
          <t>As expected</t>
        </is>
      </c>
      <c r="K3" s="9" t="inlineStr"/>
      <c r="L3" s="9" t="inlineStr"/>
      <c r="M3" s="9" t="inlineStr"/>
      <c r="N3" s="9" t="inlineStr"/>
      <c r="O3" s="9" t="inlineStr"/>
    </row>
    <row r="4">
      <c r="A4" s="9" t="inlineStr">
        <is>
          <t>Registration form</t>
        </is>
      </c>
      <c r="B4" s="9" t="inlineStr">
        <is>
          <t>TC-REG-01</t>
        </is>
      </c>
      <c r="C4" s="9" t="inlineStr">
        <is>
          <t>Normal case</t>
        </is>
      </c>
      <c r="D4" s="9" t="inlineStr"/>
      <c r="E4" s="9" t="inlineStr">
        <is>
          <t>01.3</t>
        </is>
      </c>
      <c r="F4" s="9" t="inlineStr">
        <is>
          <t>Promo code</t>
        </is>
      </c>
      <c r="G4" s="9" t="inlineStr">
        <is>
          <t>Click "ใช้โค้ดส่วนลด", enter FREE15DAY, click "ใช้โค้ด"</t>
        </is>
      </c>
      <c r="H4" s="9" t="inlineStr">
        <is>
          <t>Fields for filling / button</t>
        </is>
      </c>
      <c r="I4" s="9" t="inlineStr">
        <is>
          <t>Code shown as applied "FREE15DAY"</t>
        </is>
      </c>
      <c r="J4" s="9" t="inlineStr">
        <is>
          <t>As expected</t>
        </is>
      </c>
      <c r="K4" s="9" t="inlineStr"/>
      <c r="L4" s="9" t="inlineStr"/>
      <c r="M4" s="9" t="inlineStr"/>
      <c r="N4" s="9" t="inlineStr"/>
      <c r="O4" s="9" t="inlineStr"/>
    </row>
    <row r="5">
      <c r="A5" s="9" t="inlineStr">
        <is>
          <t>Registration form</t>
        </is>
      </c>
      <c r="B5" s="9" t="inlineStr">
        <is>
          <t>TC-REG-01</t>
        </is>
      </c>
      <c r="C5" s="9" t="inlineStr">
        <is>
          <t>Normal case</t>
        </is>
      </c>
      <c r="D5" s="9" t="inlineStr"/>
      <c r="E5" s="9" t="inlineStr">
        <is>
          <t>01.4</t>
        </is>
      </c>
      <c r="F5" s="9" t="inlineStr">
        <is>
          <t>Submit</t>
        </is>
      </c>
      <c r="G5" s="9" t="inlineStr">
        <is>
          <t>Click "ทดลองใช้ฟรี"</t>
        </is>
      </c>
      <c r="H5" s="9" t="inlineStr">
        <is>
          <t>Redirect Screen</t>
        </is>
      </c>
      <c r="I5" s="9" t="inlineStr">
        <is>
          <t>OTP dialog shows "…ส่งไปยัง 096-XXX-0708" and ref number; POST /api/v2/register has couponCode FREE15DAY</t>
        </is>
      </c>
      <c r="J5" s="9" t="inlineStr">
        <is>
          <t>As expected</t>
        </is>
      </c>
      <c r="K5" s="9" t="inlineStr"/>
      <c r="L5" s="9" t="inlineStr"/>
      <c r="M5" s="9" t="inlineStr"/>
      <c r="N5" s="9" t="inlineStr"/>
      <c r="O5" s="9" t="inlineStr"/>
    </row>
    <row r="6">
      <c r="A6" s="9" t="inlineStr">
        <is>
          <t>Registration form</t>
        </is>
      </c>
      <c r="B6" s="9" t="inlineStr">
        <is>
          <t>TC-REG-01</t>
        </is>
      </c>
      <c r="C6" s="9" t="inlineStr">
        <is>
          <t>Normal case</t>
        </is>
      </c>
      <c r="D6" s="9" t="inlineStr"/>
      <c r="E6" s="9" t="inlineStr">
        <is>
          <t>01.5</t>
        </is>
      </c>
      <c r="F6" s="9" t="inlineStr">
        <is>
          <t>Verify OTP</t>
        </is>
      </c>
      <c r="G6" s="9" t="inlineStr">
        <is>
          <t>Enter 123456, click "ยืนยัน"</t>
        </is>
      </c>
      <c r="H6" s="9" t="inlineStr">
        <is>
          <t>Redirect Screen</t>
        </is>
      </c>
      <c r="I6" s="9" t="inlineStr">
        <is>
          <t>Redirect to /Register/empeo/create-password?token=…</t>
        </is>
      </c>
      <c r="J6" s="9" t="inlineStr">
        <is>
          <t>As expected</t>
        </is>
      </c>
      <c r="K6" s="9" t="inlineStr"/>
      <c r="L6" s="9" t="inlineStr"/>
      <c r="M6" s="9" t="inlineStr"/>
      <c r="N6" s="9" t="inlineStr"/>
      <c r="O6" s="9" t="inlineStr"/>
    </row>
    <row r="7">
      <c r="A7" s="9" t="inlineStr">
        <is>
          <t>Registration form</t>
        </is>
      </c>
      <c r="B7" s="9" t="inlineStr">
        <is>
          <t>TC-REG-01</t>
        </is>
      </c>
      <c r="C7" s="9" t="inlineStr">
        <is>
          <t>Normal case</t>
        </is>
      </c>
      <c r="D7" s="9" t="inlineStr"/>
      <c r="E7" s="9" t="inlineStr">
        <is>
          <t>01.6</t>
        </is>
      </c>
      <c r="F7" s="9" t="inlineStr">
        <is>
          <t>Set password</t>
        </is>
      </c>
      <c r="G7" s="9" t="inlineStr">
        <is>
          <t>Enter QaAuto12345 in both fields, click "ตั้งรหัสผ่าน"</t>
        </is>
      </c>
      <c r="H7" s="9" t="inlineStr">
        <is>
          <t>Redirect Screen</t>
        </is>
      </c>
      <c r="I7" s="9" t="inlineStr">
        <is>
          <t>"empeo พร้อมใช้งานแล้ว!" and button "เริ่มต้นใช้งาน" shown</t>
        </is>
      </c>
      <c r="J7" s="9" t="inlineStr">
        <is>
          <t>As expected</t>
        </is>
      </c>
      <c r="K7" s="9" t="inlineStr">
        <is>
          <t>Pass</t>
        </is>
      </c>
      <c r="L7" s="19">
        <f>HYPERLINK("https://github.com/Yatichapat6510/empeo-registration-tests/blob/main/docs/exploration/19-after-password.png","19-after-password.png")</f>
        <v/>
      </c>
      <c r="M7" s="9" t="inlineStr">
        <is>
          <t>Newyear (Yatichapat Kanta)</t>
        </is>
      </c>
      <c r="N7" s="9" t="inlineStr">
        <is>
          <t>27/10/2026</t>
        </is>
      </c>
      <c r="O7" s="9" t="inlineStr">
        <is>
          <t>registration.spec.js › TC-REG-01</t>
        </is>
      </c>
    </row>
    <row r="8">
      <c r="A8" s="20" t="inlineStr">
        <is>
          <t>Registration form</t>
        </is>
      </c>
      <c r="B8" s="20" t="inlineStr">
        <is>
          <t>TC-REG-02</t>
        </is>
      </c>
      <c r="C8" s="20" t="inlineStr">
        <is>
          <t>Normal case</t>
        </is>
      </c>
      <c r="D8" s="20" t="inlineStr">
        <is>
          <t>Register without promo code (optional field)</t>
        </is>
      </c>
      <c r="E8" s="20" t="inlineStr">
        <is>
          <t>02.1</t>
        </is>
      </c>
      <c r="F8" s="20" t="inlineStr">
        <is>
          <t>Open page</t>
        </is>
      </c>
      <c r="G8" s="20" t="inlineStr">
        <is>
          <t>Open /Register/empeo</t>
        </is>
      </c>
      <c r="H8" s="20" t="inlineStr">
        <is>
          <t>Redirect Screen</t>
        </is>
      </c>
      <c r="I8" s="20" t="inlineStr">
        <is>
          <t>Registration form "ทดลองใช้งาน empeo ฟรี!" is shown</t>
        </is>
      </c>
      <c r="J8" s="20" t="inlineStr">
        <is>
          <t>As expected</t>
        </is>
      </c>
      <c r="K8" s="20" t="inlineStr"/>
      <c r="L8" s="20" t="inlineStr"/>
      <c r="M8" s="20" t="inlineStr"/>
      <c r="N8" s="20" t="inlineStr"/>
      <c r="O8" s="20" t="inlineStr"/>
    </row>
    <row r="9">
      <c r="A9" s="20" t="inlineStr">
        <is>
          <t>Registration form</t>
        </is>
      </c>
      <c r="B9" s="20" t="inlineStr">
        <is>
          <t>TC-REG-02</t>
        </is>
      </c>
      <c r="C9" s="20" t="inlineStr">
        <is>
          <t>Normal case</t>
        </is>
      </c>
      <c r="D9" s="20" t="inlineStr"/>
      <c r="E9" s="20" t="inlineStr">
        <is>
          <t>02.2</t>
        </is>
      </c>
      <c r="F9" s="20" t="inlineStr">
        <is>
          <t>Fill form</t>
        </is>
      </c>
      <c r="G9" s="20" t="inlineStr">
        <is>
          <t>Select "อื่นๆ"; company name (unique); business type "เทคโนโลยี"; users "1-20"; unique e-mail; first/last name; phone 0967690708; tick consent</t>
        </is>
      </c>
      <c r="H9" s="20" t="inlineStr">
        <is>
          <t>Fields for filling</t>
        </is>
      </c>
      <c r="I9" s="20" t="inlineStr">
        <is>
          <t>All fields accept the values, no error</t>
        </is>
      </c>
      <c r="J9" s="20" t="inlineStr">
        <is>
          <t>As expected</t>
        </is>
      </c>
      <c r="K9" s="20" t="inlineStr"/>
      <c r="L9" s="20" t="inlineStr"/>
      <c r="M9" s="20" t="inlineStr"/>
      <c r="N9" s="20" t="inlineStr"/>
      <c r="O9" s="20" t="inlineStr"/>
    </row>
    <row r="10">
      <c r="A10" s="20" t="inlineStr">
        <is>
          <t>Registration form</t>
        </is>
      </c>
      <c r="B10" s="20" t="inlineStr">
        <is>
          <t>TC-REG-02</t>
        </is>
      </c>
      <c r="C10" s="20" t="inlineStr">
        <is>
          <t>Normal case</t>
        </is>
      </c>
      <c r="D10" s="20" t="inlineStr"/>
      <c r="E10" s="20" t="inlineStr">
        <is>
          <t>02.3</t>
        </is>
      </c>
      <c r="F10" s="20" t="inlineStr">
        <is>
          <t>Submit</t>
        </is>
      </c>
      <c r="G10" s="20" t="inlineStr">
        <is>
          <t>Click "ทดลองใช้ฟรี"</t>
        </is>
      </c>
      <c r="H10" s="20" t="inlineStr">
        <is>
          <t>Button / Redirect Screen</t>
        </is>
      </c>
      <c r="I10" s="20" t="inlineStr">
        <is>
          <t>OTP dialog "กรุณาตรวจสอบข้อความ" with 6 OTP boxes is shown</t>
        </is>
      </c>
      <c r="J10" s="20" t="inlineStr">
        <is>
          <t>As expected</t>
        </is>
      </c>
      <c r="K10" s="20" t="inlineStr"/>
      <c r="L10" s="20" t="inlineStr"/>
      <c r="M10" s="20" t="inlineStr"/>
      <c r="N10" s="20" t="inlineStr"/>
      <c r="O10" s="20" t="inlineStr"/>
    </row>
    <row r="11">
      <c r="A11" s="20" t="inlineStr">
        <is>
          <t>Registration form</t>
        </is>
      </c>
      <c r="B11" s="20" t="inlineStr">
        <is>
          <t>TC-REG-02</t>
        </is>
      </c>
      <c r="C11" s="20" t="inlineStr">
        <is>
          <t>Normal case</t>
        </is>
      </c>
      <c r="D11" s="20" t="inlineStr"/>
      <c r="E11" s="20" t="inlineStr">
        <is>
          <t>02.4</t>
        </is>
      </c>
      <c r="F11" s="20" t="inlineStr">
        <is>
          <t>Verify button</t>
        </is>
      </c>
      <c r="G11" s="20" t="inlineStr">
        <is>
          <t>Do not type OTP</t>
        </is>
      </c>
      <c r="H11" s="20" t="inlineStr">
        <is>
          <t>button</t>
        </is>
      </c>
      <c r="I11" s="20" t="inlineStr">
        <is>
          <t>"ยืนยัน" is disabled</t>
        </is>
      </c>
      <c r="J11" s="20" t="inlineStr">
        <is>
          <t>As expected</t>
        </is>
      </c>
      <c r="K11" s="20" t="inlineStr">
        <is>
          <t>Pass</t>
        </is>
      </c>
      <c r="L11" s="21">
        <f>HYPERLINK("https://github.com/Yatichapat6510/empeo-registration-tests/blob/main/docs/report/01-html-report-summary.jpg","HTML report (all tests)")</f>
        <v/>
      </c>
      <c r="M11" s="20" t="inlineStr">
        <is>
          <t>Newyear (Yatichapat Kanta)</t>
        </is>
      </c>
      <c r="N11" s="20" t="inlineStr">
        <is>
          <t>27/10/2026</t>
        </is>
      </c>
      <c r="O11" s="20" t="inlineStr">
        <is>
          <t>registration.spec.js › TC-REG-02</t>
        </is>
      </c>
    </row>
    <row r="12">
      <c r="A12" s="9" t="inlineStr">
        <is>
          <t>Registration form</t>
        </is>
      </c>
      <c r="B12" s="9" t="inlineStr">
        <is>
          <t>TC-REG-03</t>
        </is>
      </c>
      <c r="C12" s="9" t="inlineStr">
        <is>
          <t>Error case</t>
        </is>
      </c>
      <c r="D12" s="9" t="inlineStr">
        <is>
          <t>Set-password rules (case, digit, 8+ chars, confirmation match)</t>
        </is>
      </c>
      <c r="E12" s="9" t="inlineStr">
        <is>
          <t>03.1</t>
        </is>
      </c>
      <c r="F12" s="9" t="inlineStr">
        <is>
          <t>Open page</t>
        </is>
      </c>
      <c r="G12" s="9" t="inlineStr">
        <is>
          <t>Open /Register/empeo</t>
        </is>
      </c>
      <c r="H12" s="9" t="inlineStr">
        <is>
          <t>Redirect Screen</t>
        </is>
      </c>
      <c r="I12" s="9" t="inlineStr">
        <is>
          <t>Registration form "ทดลองใช้งาน empeo ฟรี!" is shown</t>
        </is>
      </c>
      <c r="J12" s="9" t="inlineStr">
        <is>
          <t>As expected</t>
        </is>
      </c>
      <c r="K12" s="9" t="inlineStr"/>
      <c r="L12" s="9" t="inlineStr"/>
      <c r="M12" s="9" t="inlineStr"/>
      <c r="N12" s="9" t="inlineStr"/>
      <c r="O12" s="9" t="inlineStr"/>
    </row>
    <row r="13">
      <c r="A13" s="9" t="inlineStr">
        <is>
          <t>Registration form</t>
        </is>
      </c>
      <c r="B13" s="9" t="inlineStr">
        <is>
          <t>TC-REG-03</t>
        </is>
      </c>
      <c r="C13" s="9" t="inlineStr">
        <is>
          <t>Error case</t>
        </is>
      </c>
      <c r="D13" s="9" t="inlineStr"/>
      <c r="E13" s="9" t="inlineStr">
        <is>
          <t>03.2</t>
        </is>
      </c>
      <c r="F13" s="9" t="inlineStr">
        <is>
          <t>Fill form</t>
        </is>
      </c>
      <c r="G13" s="9" t="inlineStr">
        <is>
          <t>Select "อื่นๆ"; company name (unique); business type "เทคโนโลยี"; users "1-20"; unique e-mail; first/last name; phone 0967690708; tick consent</t>
        </is>
      </c>
      <c r="H13" s="9" t="inlineStr">
        <is>
          <t>Fields for filling</t>
        </is>
      </c>
      <c r="I13" s="9" t="inlineStr">
        <is>
          <t>All fields accept the values, no error</t>
        </is>
      </c>
      <c r="J13" s="9" t="inlineStr">
        <is>
          <t>As expected</t>
        </is>
      </c>
      <c r="K13" s="9" t="inlineStr"/>
      <c r="L13" s="9" t="inlineStr"/>
      <c r="M13" s="9" t="inlineStr"/>
      <c r="N13" s="9" t="inlineStr"/>
      <c r="O13" s="9" t="inlineStr"/>
    </row>
    <row r="14">
      <c r="A14" s="9" t="inlineStr">
        <is>
          <t>Registration form</t>
        </is>
      </c>
      <c r="B14" s="9" t="inlineStr">
        <is>
          <t>TC-REG-03</t>
        </is>
      </c>
      <c r="C14" s="9" t="inlineStr">
        <is>
          <t>Error case</t>
        </is>
      </c>
      <c r="D14" s="9" t="inlineStr"/>
      <c r="E14" s="9" t="inlineStr">
        <is>
          <t>03.3</t>
        </is>
      </c>
      <c r="F14" s="9" t="inlineStr">
        <is>
          <t>Submit</t>
        </is>
      </c>
      <c r="G14" s="9" t="inlineStr">
        <is>
          <t>Click "ทดลองใช้ฟรี"</t>
        </is>
      </c>
      <c r="H14" s="9" t="inlineStr">
        <is>
          <t>Button / Redirect Screen</t>
        </is>
      </c>
      <c r="I14" s="9" t="inlineStr">
        <is>
          <t>OTP dialog "กรุณาตรวจสอบข้อความ" with 6 OTP boxes is shown</t>
        </is>
      </c>
      <c r="J14" s="9" t="inlineStr">
        <is>
          <t>As expected</t>
        </is>
      </c>
      <c r="K14" s="9" t="inlineStr"/>
      <c r="L14" s="9" t="inlineStr"/>
      <c r="M14" s="9" t="inlineStr"/>
      <c r="N14" s="9" t="inlineStr"/>
      <c r="O14" s="9" t="inlineStr"/>
    </row>
    <row r="15">
      <c r="A15" s="9" t="inlineStr">
        <is>
          <t>Registration form</t>
        </is>
      </c>
      <c r="B15" s="9" t="inlineStr">
        <is>
          <t>TC-REG-03</t>
        </is>
      </c>
      <c r="C15" s="9" t="inlineStr">
        <is>
          <t>Error case</t>
        </is>
      </c>
      <c r="D15" s="9" t="inlineStr"/>
      <c r="E15" s="9" t="inlineStr">
        <is>
          <t>03.4</t>
        </is>
      </c>
      <c r="F15" s="9" t="inlineStr">
        <is>
          <t>Verify OTP</t>
        </is>
      </c>
      <c r="G15" s="9" t="inlineStr">
        <is>
          <t>Enter 123456, click "ยืนยัน"</t>
        </is>
      </c>
      <c r="H15" s="9" t="inlineStr">
        <is>
          <t>Redirect Screen</t>
        </is>
      </c>
      <c r="I15" s="9" t="inlineStr">
        <is>
          <t>Set-password page "กรุณาตั้งรหัสผ่าน"</t>
        </is>
      </c>
      <c r="J15" s="9" t="inlineStr">
        <is>
          <t>As expected</t>
        </is>
      </c>
      <c r="K15" s="9" t="inlineStr"/>
      <c r="L15" s="9" t="inlineStr"/>
      <c r="M15" s="9" t="inlineStr"/>
      <c r="N15" s="9" t="inlineStr"/>
      <c r="O15" s="9" t="inlineStr"/>
    </row>
    <row r="16">
      <c r="A16" s="9" t="inlineStr">
        <is>
          <t>Registration form</t>
        </is>
      </c>
      <c r="B16" s="9" t="inlineStr">
        <is>
          <t>TC-REG-03</t>
        </is>
      </c>
      <c r="C16" s="9" t="inlineStr">
        <is>
          <t>Error case</t>
        </is>
      </c>
      <c r="D16" s="9" t="inlineStr"/>
      <c r="E16" s="9" t="inlineStr">
        <is>
          <t>03.5</t>
        </is>
      </c>
      <c r="F16" s="9" t="inlineStr">
        <is>
          <t>Weak password</t>
        </is>
      </c>
      <c r="G16" s="9" t="inlineStr">
        <is>
          <t>Enter abc / abcdefgh / ABCDEFGH1 / Abcdefgh / Ab1 in both fields</t>
        </is>
      </c>
      <c r="H16" s="9" t="inlineStr">
        <is>
          <t>button</t>
        </is>
      </c>
      <c r="I16" s="9" t="inlineStr">
        <is>
          <t>"ตั้งรหัสผ่าน" disabled for each</t>
        </is>
      </c>
      <c r="J16" s="9" t="inlineStr">
        <is>
          <t>As expected</t>
        </is>
      </c>
      <c r="K16" s="9" t="inlineStr"/>
      <c r="L16" s="9" t="inlineStr"/>
      <c r="M16" s="9" t="inlineStr"/>
      <c r="N16" s="9" t="inlineStr"/>
      <c r="O16" s="9" t="inlineStr"/>
    </row>
    <row r="17">
      <c r="A17" s="9" t="inlineStr">
        <is>
          <t>Registration form</t>
        </is>
      </c>
      <c r="B17" s="9" t="inlineStr">
        <is>
          <t>TC-REG-03</t>
        </is>
      </c>
      <c r="C17" s="9" t="inlineStr">
        <is>
          <t>Error case</t>
        </is>
      </c>
      <c r="D17" s="9" t="inlineStr"/>
      <c r="E17" s="9" t="inlineStr">
        <is>
          <t>03.6</t>
        </is>
      </c>
      <c r="F17" s="9" t="inlineStr">
        <is>
          <t>Mismatch</t>
        </is>
      </c>
      <c r="G17" s="9" t="inlineStr">
        <is>
          <t>Password QaAuto12345, confirm QaAuto12345x, click "ตั้งรหัสผ่าน"</t>
        </is>
      </c>
      <c r="H17" s="9" t="inlineStr">
        <is>
          <t>Message / Redirect Screen</t>
        </is>
      </c>
      <c r="I17" s="9" t="inlineStr">
        <is>
          <t>"รหัสผ่านไม่ตรงกัน" shown; stays on set-password page</t>
        </is>
      </c>
      <c r="J17" s="9" t="inlineStr">
        <is>
          <t>As expected</t>
        </is>
      </c>
      <c r="K17" s="9" t="inlineStr"/>
      <c r="L17" s="9" t="inlineStr"/>
      <c r="M17" s="9" t="inlineStr"/>
      <c r="N17" s="9" t="inlineStr"/>
      <c r="O17" s="9" t="inlineStr"/>
    </row>
    <row r="18">
      <c r="A18" s="9" t="inlineStr">
        <is>
          <t>Registration form</t>
        </is>
      </c>
      <c r="B18" s="9" t="inlineStr">
        <is>
          <t>TC-REG-03</t>
        </is>
      </c>
      <c r="C18" s="9" t="inlineStr">
        <is>
          <t>Error case</t>
        </is>
      </c>
      <c r="D18" s="9" t="inlineStr"/>
      <c r="E18" s="9" t="inlineStr">
        <is>
          <t>03.7</t>
        </is>
      </c>
      <c r="F18" s="9" t="inlineStr">
        <is>
          <t>Valid password</t>
        </is>
      </c>
      <c r="G18" s="9" t="inlineStr">
        <is>
          <t>QaAuto12345 in both fields</t>
        </is>
      </c>
      <c r="H18" s="9" t="inlineStr">
        <is>
          <t>button</t>
        </is>
      </c>
      <c r="I18" s="9" t="inlineStr">
        <is>
          <t>"ตั้งรหัสผ่าน" enabled</t>
        </is>
      </c>
      <c r="J18" s="9" t="inlineStr">
        <is>
          <t>As expected</t>
        </is>
      </c>
      <c r="K18" s="9" t="inlineStr">
        <is>
          <t>Pass</t>
        </is>
      </c>
      <c r="L18" s="19">
        <f>HYPERLINK("https://github.com/Yatichapat6510/empeo-registration-tests/blob/main/docs/exploration/23-password-mismatch.png","23-password-mismatch.png")</f>
        <v/>
      </c>
      <c r="M18" s="9" t="inlineStr">
        <is>
          <t>Newyear (Yatichapat Kanta)</t>
        </is>
      </c>
      <c r="N18" s="9" t="inlineStr">
        <is>
          <t>27/10/2026</t>
        </is>
      </c>
      <c r="O18" s="9" t="inlineStr">
        <is>
          <t>registration.spec.js › TC-REG-03</t>
        </is>
      </c>
    </row>
    <row r="19">
      <c r="A19" s="20" t="inlineStr">
        <is>
          <t>OTP verification</t>
        </is>
      </c>
      <c r="B19" s="20" t="inlineStr">
        <is>
          <t>TC-OTP-01</t>
        </is>
      </c>
      <c r="C19" s="20" t="inlineStr">
        <is>
          <t>Normal case</t>
        </is>
      </c>
      <c r="D19" s="20" t="inlineStr">
        <is>
          <t>Correct OTP 123456</t>
        </is>
      </c>
      <c r="E19" s="20" t="inlineStr">
        <is>
          <t>01.1</t>
        </is>
      </c>
      <c r="F19" s="20" t="inlineStr">
        <is>
          <t>Open page</t>
        </is>
      </c>
      <c r="G19" s="20" t="inlineStr">
        <is>
          <t>Open /Register/empeo</t>
        </is>
      </c>
      <c r="H19" s="20" t="inlineStr">
        <is>
          <t>Redirect Screen</t>
        </is>
      </c>
      <c r="I19" s="20" t="inlineStr">
        <is>
          <t>Registration form "ทดลองใช้งาน empeo ฟรี!" is shown</t>
        </is>
      </c>
      <c r="J19" s="20" t="inlineStr">
        <is>
          <t>As expected</t>
        </is>
      </c>
      <c r="K19" s="20" t="inlineStr"/>
      <c r="L19" s="20" t="inlineStr"/>
      <c r="M19" s="20" t="inlineStr"/>
      <c r="N19" s="20" t="inlineStr"/>
      <c r="O19" s="20" t="inlineStr"/>
    </row>
    <row r="20">
      <c r="A20" s="20" t="inlineStr">
        <is>
          <t>OTP verification</t>
        </is>
      </c>
      <c r="B20" s="20" t="inlineStr">
        <is>
          <t>TC-OTP-01</t>
        </is>
      </c>
      <c r="C20" s="20" t="inlineStr">
        <is>
          <t>Normal case</t>
        </is>
      </c>
      <c r="D20" s="20" t="inlineStr"/>
      <c r="E20" s="20" t="inlineStr">
        <is>
          <t>01.2</t>
        </is>
      </c>
      <c r="F20" s="20" t="inlineStr">
        <is>
          <t>Fill form</t>
        </is>
      </c>
      <c r="G20" s="20" t="inlineStr">
        <is>
          <t>Select "อื่นๆ"; company name (unique); business type "เทคโนโลยี"; users "1-20"; unique e-mail; first/last name; phone 0967690708; tick consent</t>
        </is>
      </c>
      <c r="H20" s="20" t="inlineStr">
        <is>
          <t>Fields for filling</t>
        </is>
      </c>
      <c r="I20" s="20" t="inlineStr">
        <is>
          <t>All fields accept the values, no error</t>
        </is>
      </c>
      <c r="J20" s="20" t="inlineStr">
        <is>
          <t>As expected</t>
        </is>
      </c>
      <c r="K20" s="20" t="inlineStr"/>
      <c r="L20" s="20" t="inlineStr"/>
      <c r="M20" s="20" t="inlineStr"/>
      <c r="N20" s="20" t="inlineStr"/>
      <c r="O20" s="20" t="inlineStr"/>
    </row>
    <row r="21">
      <c r="A21" s="20" t="inlineStr">
        <is>
          <t>OTP verification</t>
        </is>
      </c>
      <c r="B21" s="20" t="inlineStr">
        <is>
          <t>TC-OTP-01</t>
        </is>
      </c>
      <c r="C21" s="20" t="inlineStr">
        <is>
          <t>Normal case</t>
        </is>
      </c>
      <c r="D21" s="20" t="inlineStr"/>
      <c r="E21" s="20" t="inlineStr">
        <is>
          <t>01.3</t>
        </is>
      </c>
      <c r="F21" s="20" t="inlineStr">
        <is>
          <t>Submit</t>
        </is>
      </c>
      <c r="G21" s="20" t="inlineStr">
        <is>
          <t>Click "ทดลองใช้ฟรี"</t>
        </is>
      </c>
      <c r="H21" s="20" t="inlineStr">
        <is>
          <t>Button / Redirect Screen</t>
        </is>
      </c>
      <c r="I21" s="20" t="inlineStr">
        <is>
          <t>OTP dialog "กรุณาตรวจสอบข้อความ" with 6 OTP boxes is shown</t>
        </is>
      </c>
      <c r="J21" s="20" t="inlineStr">
        <is>
          <t>As expected</t>
        </is>
      </c>
      <c r="K21" s="20" t="inlineStr"/>
      <c r="L21" s="20" t="inlineStr"/>
      <c r="M21" s="20" t="inlineStr"/>
      <c r="N21" s="20" t="inlineStr"/>
      <c r="O21" s="20" t="inlineStr"/>
    </row>
    <row r="22">
      <c r="A22" s="20" t="inlineStr">
        <is>
          <t>OTP verification</t>
        </is>
      </c>
      <c r="B22" s="20" t="inlineStr">
        <is>
          <t>TC-OTP-01</t>
        </is>
      </c>
      <c r="C22" s="20" t="inlineStr">
        <is>
          <t>Normal case</t>
        </is>
      </c>
      <c r="D22" s="20" t="inlineStr"/>
      <c r="E22" s="20" t="inlineStr">
        <is>
          <t>01.4</t>
        </is>
      </c>
      <c r="F22" s="20" t="inlineStr">
        <is>
          <t>Verify OTP</t>
        </is>
      </c>
      <c r="G22" s="20" t="inlineStr">
        <is>
          <t>Enter 123456, click "ยืนยัน"</t>
        </is>
      </c>
      <c r="H22" s="20" t="inlineStr">
        <is>
          <t>Redirect Screen</t>
        </is>
      </c>
      <c r="I22" s="20" t="inlineStr">
        <is>
          <t>Redirect to set-password page</t>
        </is>
      </c>
      <c r="J22" s="20" t="inlineStr">
        <is>
          <t>As expected</t>
        </is>
      </c>
      <c r="K22" s="20" t="inlineStr">
        <is>
          <t>Pass</t>
        </is>
      </c>
      <c r="L22" s="21">
        <f>HYPERLINK("https://github.com/Yatichapat6510/empeo-registration-tests/blob/main/docs/exploration/15-success.png","15-success.png")</f>
        <v/>
      </c>
      <c r="M22" s="20" t="inlineStr">
        <is>
          <t>Newyear (Yatichapat Kanta)</t>
        </is>
      </c>
      <c r="N22" s="20" t="inlineStr">
        <is>
          <t>27/10/2026</t>
        </is>
      </c>
      <c r="O22" s="20" t="inlineStr">
        <is>
          <t>otp.spec.js › TC-OTP-01 · Failed once in run 16:47 (redirect after OTP &gt; 10 s on UAT, see BUG-06); passed after wait 30 s + 1 retry</t>
        </is>
      </c>
    </row>
    <row r="23">
      <c r="A23" s="9" t="inlineStr">
        <is>
          <t>OTP verification</t>
        </is>
      </c>
      <c r="B23" s="9" t="inlineStr">
        <is>
          <t>TC-OTP-02</t>
        </is>
      </c>
      <c r="C23" s="9" t="inlineStr">
        <is>
          <t>Error case</t>
        </is>
      </c>
      <c r="D23" s="9" t="inlineStr">
        <is>
          <t>Wrong OTP</t>
        </is>
      </c>
      <c r="E23" s="9" t="inlineStr">
        <is>
          <t>02.1</t>
        </is>
      </c>
      <c r="F23" s="9" t="inlineStr">
        <is>
          <t>Open page</t>
        </is>
      </c>
      <c r="G23" s="9" t="inlineStr">
        <is>
          <t>Open /Register/empeo</t>
        </is>
      </c>
      <c r="H23" s="9" t="inlineStr">
        <is>
          <t>Redirect Screen</t>
        </is>
      </c>
      <c r="I23" s="9" t="inlineStr">
        <is>
          <t>Registration form "ทดลองใช้งาน empeo ฟรี!" is shown</t>
        </is>
      </c>
      <c r="J23" s="9" t="inlineStr">
        <is>
          <t>As expected</t>
        </is>
      </c>
      <c r="K23" s="9" t="inlineStr"/>
      <c r="L23" s="9" t="inlineStr"/>
      <c r="M23" s="9" t="inlineStr"/>
      <c r="N23" s="9" t="inlineStr"/>
      <c r="O23" s="9" t="inlineStr"/>
    </row>
    <row r="24">
      <c r="A24" s="9" t="inlineStr">
        <is>
          <t>OTP verification</t>
        </is>
      </c>
      <c r="B24" s="9" t="inlineStr">
        <is>
          <t>TC-OTP-02</t>
        </is>
      </c>
      <c r="C24" s="9" t="inlineStr">
        <is>
          <t>Error case</t>
        </is>
      </c>
      <c r="D24" s="9" t="inlineStr"/>
      <c r="E24" s="9" t="inlineStr">
        <is>
          <t>02.2</t>
        </is>
      </c>
      <c r="F24" s="9" t="inlineStr">
        <is>
          <t>Fill form</t>
        </is>
      </c>
      <c r="G24" s="9" t="inlineStr">
        <is>
          <t>Select "อื่นๆ"; company name (unique); business type "เทคโนโลยี"; users "1-20"; unique e-mail; first/last name; phone 0967690708; tick consent</t>
        </is>
      </c>
      <c r="H24" s="9" t="inlineStr">
        <is>
          <t>Fields for filling</t>
        </is>
      </c>
      <c r="I24" s="9" t="inlineStr">
        <is>
          <t>All fields accept the values, no error</t>
        </is>
      </c>
      <c r="J24" s="9" t="inlineStr">
        <is>
          <t>As expected</t>
        </is>
      </c>
      <c r="K24" s="9" t="inlineStr"/>
      <c r="L24" s="9" t="inlineStr"/>
      <c r="M24" s="9" t="inlineStr"/>
      <c r="N24" s="9" t="inlineStr"/>
      <c r="O24" s="9" t="inlineStr"/>
    </row>
    <row r="25">
      <c r="A25" s="9" t="inlineStr">
        <is>
          <t>OTP verification</t>
        </is>
      </c>
      <c r="B25" s="9" t="inlineStr">
        <is>
          <t>TC-OTP-02</t>
        </is>
      </c>
      <c r="C25" s="9" t="inlineStr">
        <is>
          <t>Error case</t>
        </is>
      </c>
      <c r="D25" s="9" t="inlineStr"/>
      <c r="E25" s="9" t="inlineStr">
        <is>
          <t>02.3</t>
        </is>
      </c>
      <c r="F25" s="9" t="inlineStr">
        <is>
          <t>Submit</t>
        </is>
      </c>
      <c r="G25" s="9" t="inlineStr">
        <is>
          <t>Click "ทดลองใช้ฟรี"</t>
        </is>
      </c>
      <c r="H25" s="9" t="inlineStr">
        <is>
          <t>Button / Redirect Screen</t>
        </is>
      </c>
      <c r="I25" s="9" t="inlineStr">
        <is>
          <t>OTP dialog "กรุณาตรวจสอบข้อความ" with 6 OTP boxes is shown</t>
        </is>
      </c>
      <c r="J25" s="9" t="inlineStr">
        <is>
          <t>As expected</t>
        </is>
      </c>
      <c r="K25" s="9" t="inlineStr"/>
      <c r="L25" s="9" t="inlineStr"/>
      <c r="M25" s="9" t="inlineStr"/>
      <c r="N25" s="9" t="inlineStr"/>
      <c r="O25" s="9" t="inlineStr"/>
    </row>
    <row r="26">
      <c r="A26" s="9" t="inlineStr">
        <is>
          <t>OTP verification</t>
        </is>
      </c>
      <c r="B26" s="9" t="inlineStr">
        <is>
          <t>TC-OTP-02</t>
        </is>
      </c>
      <c r="C26" s="9" t="inlineStr">
        <is>
          <t>Error case</t>
        </is>
      </c>
      <c r="D26" s="9" t="inlineStr"/>
      <c r="E26" s="9" t="inlineStr">
        <is>
          <t>02.4</t>
        </is>
      </c>
      <c r="F26" s="9" t="inlineStr">
        <is>
          <t>Verify OTP</t>
        </is>
      </c>
      <c r="G26" s="9" t="inlineStr">
        <is>
          <t>Enter 000000, click "ยืนยัน"</t>
        </is>
      </c>
      <c r="H26" s="9" t="inlineStr">
        <is>
          <t>Message</t>
        </is>
      </c>
      <c r="I26" s="9" t="inlineStr">
        <is>
          <t>Toast "OTP ไม่ถูกต้อง กรุณาลองใหม่อีกครั้ง"; dialog stays; OTP boxes cleared</t>
        </is>
      </c>
      <c r="J26" s="9" t="inlineStr">
        <is>
          <t>As expected</t>
        </is>
      </c>
      <c r="K26" s="9" t="inlineStr">
        <is>
          <t>Pass</t>
        </is>
      </c>
      <c r="L26" s="19">
        <f>HYPERLINK("https://github.com/Yatichapat6510/empeo-registration-tests/blob/main/docs/exploration/13-otp-wrong.png","13-otp-wrong.png")</f>
        <v/>
      </c>
      <c r="M26" s="9" t="inlineStr">
        <is>
          <t>Newyear (Yatichapat Kanta)</t>
        </is>
      </c>
      <c r="N26" s="9" t="inlineStr">
        <is>
          <t>27/10/2026</t>
        </is>
      </c>
      <c r="O26" s="9" t="inlineStr">
        <is>
          <t>otp.spec.js › TC-OTP-02</t>
        </is>
      </c>
    </row>
    <row r="27">
      <c r="A27" s="20" t="inlineStr">
        <is>
          <t>OTP verification</t>
        </is>
      </c>
      <c r="B27" s="20" t="inlineStr">
        <is>
          <t>TC-OTP-03</t>
        </is>
      </c>
      <c r="C27" s="20" t="inlineStr">
        <is>
          <t>Normal case</t>
        </is>
      </c>
      <c r="D27" s="20" t="inlineStr">
        <is>
          <t>Retry with correct OTP after a wrong one</t>
        </is>
      </c>
      <c r="E27" s="20" t="inlineStr">
        <is>
          <t>03.1</t>
        </is>
      </c>
      <c r="F27" s="20" t="inlineStr">
        <is>
          <t>Open page</t>
        </is>
      </c>
      <c r="G27" s="20" t="inlineStr">
        <is>
          <t>Open /Register/empeo</t>
        </is>
      </c>
      <c r="H27" s="20" t="inlineStr">
        <is>
          <t>Redirect Screen</t>
        </is>
      </c>
      <c r="I27" s="20" t="inlineStr">
        <is>
          <t>Registration form "ทดลองใช้งาน empeo ฟรี!" is shown</t>
        </is>
      </c>
      <c r="J27" s="20" t="inlineStr">
        <is>
          <t>As expected</t>
        </is>
      </c>
      <c r="K27" s="20" t="inlineStr"/>
      <c r="L27" s="20" t="inlineStr"/>
      <c r="M27" s="20" t="inlineStr"/>
      <c r="N27" s="20" t="inlineStr"/>
      <c r="O27" s="20" t="inlineStr"/>
    </row>
    <row r="28">
      <c r="A28" s="20" t="inlineStr">
        <is>
          <t>OTP verification</t>
        </is>
      </c>
      <c r="B28" s="20" t="inlineStr">
        <is>
          <t>TC-OTP-03</t>
        </is>
      </c>
      <c r="C28" s="20" t="inlineStr">
        <is>
          <t>Normal case</t>
        </is>
      </c>
      <c r="D28" s="20" t="inlineStr"/>
      <c r="E28" s="20" t="inlineStr">
        <is>
          <t>03.2</t>
        </is>
      </c>
      <c r="F28" s="20" t="inlineStr">
        <is>
          <t>Fill form</t>
        </is>
      </c>
      <c r="G28" s="20" t="inlineStr">
        <is>
          <t>Select "อื่นๆ"; company name (unique); business type "เทคโนโลยี"; users "1-20"; unique e-mail; first/last name; phone 0967690708; tick consent</t>
        </is>
      </c>
      <c r="H28" s="20" t="inlineStr">
        <is>
          <t>Fields for filling</t>
        </is>
      </c>
      <c r="I28" s="20" t="inlineStr">
        <is>
          <t>All fields accept the values, no error</t>
        </is>
      </c>
      <c r="J28" s="20" t="inlineStr">
        <is>
          <t>As expected</t>
        </is>
      </c>
      <c r="K28" s="20" t="inlineStr"/>
      <c r="L28" s="20" t="inlineStr"/>
      <c r="M28" s="20" t="inlineStr"/>
      <c r="N28" s="20" t="inlineStr"/>
      <c r="O28" s="20" t="inlineStr"/>
    </row>
    <row r="29">
      <c r="A29" s="20" t="inlineStr">
        <is>
          <t>OTP verification</t>
        </is>
      </c>
      <c r="B29" s="20" t="inlineStr">
        <is>
          <t>TC-OTP-03</t>
        </is>
      </c>
      <c r="C29" s="20" t="inlineStr">
        <is>
          <t>Normal case</t>
        </is>
      </c>
      <c r="D29" s="20" t="inlineStr"/>
      <c r="E29" s="20" t="inlineStr">
        <is>
          <t>03.3</t>
        </is>
      </c>
      <c r="F29" s="20" t="inlineStr">
        <is>
          <t>Submit</t>
        </is>
      </c>
      <c r="G29" s="20" t="inlineStr">
        <is>
          <t>Click "ทดลองใช้ฟรี"</t>
        </is>
      </c>
      <c r="H29" s="20" t="inlineStr">
        <is>
          <t>Button / Redirect Screen</t>
        </is>
      </c>
      <c r="I29" s="20" t="inlineStr">
        <is>
          <t>OTP dialog "กรุณาตรวจสอบข้อความ" with 6 OTP boxes is shown</t>
        </is>
      </c>
      <c r="J29" s="20" t="inlineStr">
        <is>
          <t>As expected</t>
        </is>
      </c>
      <c r="K29" s="20" t="inlineStr"/>
      <c r="L29" s="20" t="inlineStr"/>
      <c r="M29" s="20" t="inlineStr"/>
      <c r="N29" s="20" t="inlineStr"/>
      <c r="O29" s="20" t="inlineStr"/>
    </row>
    <row r="30">
      <c r="A30" s="20" t="inlineStr">
        <is>
          <t>OTP verification</t>
        </is>
      </c>
      <c r="B30" s="20" t="inlineStr">
        <is>
          <t>TC-OTP-03</t>
        </is>
      </c>
      <c r="C30" s="20" t="inlineStr">
        <is>
          <t>Normal case</t>
        </is>
      </c>
      <c r="D30" s="20" t="inlineStr"/>
      <c r="E30" s="20" t="inlineStr">
        <is>
          <t>03.4</t>
        </is>
      </c>
      <c r="F30" s="20" t="inlineStr">
        <is>
          <t>Wrong OTP</t>
        </is>
      </c>
      <c r="G30" s="20" t="inlineStr">
        <is>
          <t>Enter 111111, click "ยืนยัน"</t>
        </is>
      </c>
      <c r="H30" s="20" t="inlineStr">
        <is>
          <t>Message</t>
        </is>
      </c>
      <c r="I30" s="20" t="inlineStr">
        <is>
          <t>Wrong-OTP toast</t>
        </is>
      </c>
      <c r="J30" s="20" t="inlineStr">
        <is>
          <t>As expected</t>
        </is>
      </c>
      <c r="K30" s="20" t="inlineStr"/>
      <c r="L30" s="20" t="inlineStr"/>
      <c r="M30" s="20" t="inlineStr"/>
      <c r="N30" s="20" t="inlineStr"/>
      <c r="O30" s="20" t="inlineStr"/>
    </row>
    <row r="31">
      <c r="A31" s="20" t="inlineStr">
        <is>
          <t>OTP verification</t>
        </is>
      </c>
      <c r="B31" s="20" t="inlineStr">
        <is>
          <t>TC-OTP-03</t>
        </is>
      </c>
      <c r="C31" s="20" t="inlineStr">
        <is>
          <t>Normal case</t>
        </is>
      </c>
      <c r="D31" s="20" t="inlineStr"/>
      <c r="E31" s="20" t="inlineStr">
        <is>
          <t>03.5</t>
        </is>
      </c>
      <c r="F31" s="20" t="inlineStr">
        <is>
          <t>Correct OTP</t>
        </is>
      </c>
      <c r="G31" s="20" t="inlineStr">
        <is>
          <t>Enter 123456, click "ยืนยัน"</t>
        </is>
      </c>
      <c r="H31" s="20" t="inlineStr">
        <is>
          <t>Redirect Screen</t>
        </is>
      </c>
      <c r="I31" s="20" t="inlineStr">
        <is>
          <t>Redirect to set-password page</t>
        </is>
      </c>
      <c r="J31" s="20" t="inlineStr">
        <is>
          <t>As expected</t>
        </is>
      </c>
      <c r="K31" s="20" t="inlineStr">
        <is>
          <t>Pass</t>
        </is>
      </c>
      <c r="L31" s="21">
        <f>HYPERLINK("https://github.com/Yatichapat6510/empeo-registration-tests/blob/main/docs/report/01-html-report-summary.jpg","HTML report (all tests)")</f>
        <v/>
      </c>
      <c r="M31" s="20" t="inlineStr">
        <is>
          <t>Newyear (Yatichapat Kanta)</t>
        </is>
      </c>
      <c r="N31" s="20" t="inlineStr">
        <is>
          <t>27/10/2026</t>
        </is>
      </c>
      <c r="O31" s="20" t="inlineStr">
        <is>
          <t>otp.spec.js › TC-OTP-03 · Failed once in run 16:47 (redirect after OTP &gt; 10 s on UAT, see BUG-06); passed after wait 30 s + 1 retry</t>
        </is>
      </c>
    </row>
    <row r="32">
      <c r="A32" s="9" t="inlineStr">
        <is>
          <t>OTP verification</t>
        </is>
      </c>
      <c r="B32" s="9" t="inlineStr">
        <is>
          <t>TC-OTP-04</t>
        </is>
      </c>
      <c r="C32" s="9" t="inlineStr">
        <is>
          <t>Error case</t>
        </is>
      </c>
      <c r="D32" s="9" t="inlineStr">
        <is>
          <t>Verify button needs all 6 digits</t>
        </is>
      </c>
      <c r="E32" s="9" t="inlineStr">
        <is>
          <t>04.1</t>
        </is>
      </c>
      <c r="F32" s="9" t="inlineStr">
        <is>
          <t>Open page</t>
        </is>
      </c>
      <c r="G32" s="9" t="inlineStr">
        <is>
          <t>Open /Register/empeo</t>
        </is>
      </c>
      <c r="H32" s="9" t="inlineStr">
        <is>
          <t>Redirect Screen</t>
        </is>
      </c>
      <c r="I32" s="9" t="inlineStr">
        <is>
          <t>Registration form "ทดลองใช้งาน empeo ฟรี!" is shown</t>
        </is>
      </c>
      <c r="J32" s="9" t="inlineStr">
        <is>
          <t>As expected</t>
        </is>
      </c>
      <c r="K32" s="9" t="inlineStr"/>
      <c r="L32" s="9" t="inlineStr"/>
      <c r="M32" s="9" t="inlineStr"/>
      <c r="N32" s="9" t="inlineStr"/>
      <c r="O32" s="9" t="inlineStr"/>
    </row>
    <row r="33">
      <c r="A33" s="9" t="inlineStr">
        <is>
          <t>OTP verification</t>
        </is>
      </c>
      <c r="B33" s="9" t="inlineStr">
        <is>
          <t>TC-OTP-04</t>
        </is>
      </c>
      <c r="C33" s="9" t="inlineStr">
        <is>
          <t>Error case</t>
        </is>
      </c>
      <c r="D33" s="9" t="inlineStr"/>
      <c r="E33" s="9" t="inlineStr">
        <is>
          <t>04.2</t>
        </is>
      </c>
      <c r="F33" s="9" t="inlineStr">
        <is>
          <t>Fill form</t>
        </is>
      </c>
      <c r="G33" s="9" t="inlineStr">
        <is>
          <t>Select "อื่นๆ"; company name (unique); business type "เทคโนโลยี"; users "1-20"; unique e-mail; first/last name; phone 0967690708; tick consent</t>
        </is>
      </c>
      <c r="H33" s="9" t="inlineStr">
        <is>
          <t>Fields for filling</t>
        </is>
      </c>
      <c r="I33" s="9" t="inlineStr">
        <is>
          <t>All fields accept the values, no error</t>
        </is>
      </c>
      <c r="J33" s="9" t="inlineStr">
        <is>
          <t>As expected</t>
        </is>
      </c>
      <c r="K33" s="9" t="inlineStr"/>
      <c r="L33" s="9" t="inlineStr"/>
      <c r="M33" s="9" t="inlineStr"/>
      <c r="N33" s="9" t="inlineStr"/>
      <c r="O33" s="9" t="inlineStr"/>
    </row>
    <row r="34">
      <c r="A34" s="9" t="inlineStr">
        <is>
          <t>OTP verification</t>
        </is>
      </c>
      <c r="B34" s="9" t="inlineStr">
        <is>
          <t>TC-OTP-04</t>
        </is>
      </c>
      <c r="C34" s="9" t="inlineStr">
        <is>
          <t>Error case</t>
        </is>
      </c>
      <c r="D34" s="9" t="inlineStr"/>
      <c r="E34" s="9" t="inlineStr">
        <is>
          <t>04.3</t>
        </is>
      </c>
      <c r="F34" s="9" t="inlineStr">
        <is>
          <t>Submit</t>
        </is>
      </c>
      <c r="G34" s="9" t="inlineStr">
        <is>
          <t>Click "ทดลองใช้ฟรี"</t>
        </is>
      </c>
      <c r="H34" s="9" t="inlineStr">
        <is>
          <t>Button / Redirect Screen</t>
        </is>
      </c>
      <c r="I34" s="9" t="inlineStr">
        <is>
          <t>OTP dialog "กรุณาตรวจสอบข้อความ" with 6 OTP boxes is shown</t>
        </is>
      </c>
      <c r="J34" s="9" t="inlineStr">
        <is>
          <t>As expected</t>
        </is>
      </c>
      <c r="K34" s="9" t="inlineStr"/>
      <c r="L34" s="9" t="inlineStr"/>
      <c r="M34" s="9" t="inlineStr"/>
      <c r="N34" s="9" t="inlineStr"/>
      <c r="O34" s="9" t="inlineStr"/>
    </row>
    <row r="35">
      <c r="A35" s="9" t="inlineStr">
        <is>
          <t>OTP verification</t>
        </is>
      </c>
      <c r="B35" s="9" t="inlineStr">
        <is>
          <t>TC-OTP-04</t>
        </is>
      </c>
      <c r="C35" s="9" t="inlineStr">
        <is>
          <t>Error case</t>
        </is>
      </c>
      <c r="D35" s="9" t="inlineStr"/>
      <c r="E35" s="9" t="inlineStr">
        <is>
          <t>04.4</t>
        </is>
      </c>
      <c r="F35" s="9" t="inlineStr">
        <is>
          <t>Partial OTP</t>
        </is>
      </c>
      <c r="G35" s="9" t="inlineStr">
        <is>
          <t>Type 12345</t>
        </is>
      </c>
      <c r="H35" s="9" t="inlineStr">
        <is>
          <t>button</t>
        </is>
      </c>
      <c r="I35" s="9" t="inlineStr">
        <is>
          <t>"ยืนยัน" disabled</t>
        </is>
      </c>
      <c r="J35" s="9" t="inlineStr">
        <is>
          <t>As expected</t>
        </is>
      </c>
      <c r="K35" s="9" t="inlineStr"/>
      <c r="L35" s="9" t="inlineStr"/>
      <c r="M35" s="9" t="inlineStr"/>
      <c r="N35" s="9" t="inlineStr"/>
      <c r="O35" s="9" t="inlineStr"/>
    </row>
    <row r="36">
      <c r="A36" s="9" t="inlineStr">
        <is>
          <t>OTP verification</t>
        </is>
      </c>
      <c r="B36" s="9" t="inlineStr">
        <is>
          <t>TC-OTP-04</t>
        </is>
      </c>
      <c r="C36" s="9" t="inlineStr">
        <is>
          <t>Error case</t>
        </is>
      </c>
      <c r="D36" s="9" t="inlineStr"/>
      <c r="E36" s="9" t="inlineStr">
        <is>
          <t>04.5</t>
        </is>
      </c>
      <c r="F36" s="9" t="inlineStr">
        <is>
          <t>Full OTP</t>
        </is>
      </c>
      <c r="G36" s="9" t="inlineStr">
        <is>
          <t>Type 6 (6th digit)</t>
        </is>
      </c>
      <c r="H36" s="9" t="inlineStr">
        <is>
          <t>button</t>
        </is>
      </c>
      <c r="I36" s="9" t="inlineStr">
        <is>
          <t>"ยืนยัน" enabled</t>
        </is>
      </c>
      <c r="J36" s="9" t="inlineStr">
        <is>
          <t>As expected</t>
        </is>
      </c>
      <c r="K36" s="9" t="inlineStr">
        <is>
          <t>Pass</t>
        </is>
      </c>
      <c r="L36" s="19">
        <f>HYPERLINK("https://github.com/Yatichapat6510/empeo-registration-tests/blob/main/docs/report/01-html-report-summary.jpg","HTML report (all tests)")</f>
        <v/>
      </c>
      <c r="M36" s="9" t="inlineStr">
        <is>
          <t>Newyear (Yatichapat Kanta)</t>
        </is>
      </c>
      <c r="N36" s="9" t="inlineStr">
        <is>
          <t>27/10/2026</t>
        </is>
      </c>
      <c r="O36" s="9" t="inlineStr">
        <is>
          <t>otp.spec.js › TC-OTP-04</t>
        </is>
      </c>
    </row>
    <row r="37">
      <c r="A37" s="20" t="inlineStr">
        <is>
          <t>OTP verification</t>
        </is>
      </c>
      <c r="B37" s="20" t="inlineStr">
        <is>
          <t>TC-OTP-05</t>
        </is>
      </c>
      <c r="C37" s="20" t="inlineStr">
        <is>
          <t>Edge case</t>
        </is>
      </c>
      <c r="D37" s="20" t="inlineStr">
        <is>
          <t>OTP accepts digits only</t>
        </is>
      </c>
      <c r="E37" s="20" t="inlineStr">
        <is>
          <t>05.1</t>
        </is>
      </c>
      <c r="F37" s="20" t="inlineStr">
        <is>
          <t>Open page</t>
        </is>
      </c>
      <c r="G37" s="20" t="inlineStr">
        <is>
          <t>Open /Register/empeo</t>
        </is>
      </c>
      <c r="H37" s="20" t="inlineStr">
        <is>
          <t>Redirect Screen</t>
        </is>
      </c>
      <c r="I37" s="20" t="inlineStr">
        <is>
          <t>Registration form "ทดลองใช้งาน empeo ฟรี!" is shown</t>
        </is>
      </c>
      <c r="J37" s="20" t="inlineStr">
        <is>
          <t>As expected</t>
        </is>
      </c>
      <c r="K37" s="20" t="inlineStr"/>
      <c r="L37" s="20" t="inlineStr"/>
      <c r="M37" s="20" t="inlineStr"/>
      <c r="N37" s="20" t="inlineStr"/>
      <c r="O37" s="20" t="inlineStr"/>
    </row>
    <row r="38">
      <c r="A38" s="20" t="inlineStr">
        <is>
          <t>OTP verification</t>
        </is>
      </c>
      <c r="B38" s="20" t="inlineStr">
        <is>
          <t>TC-OTP-05</t>
        </is>
      </c>
      <c r="C38" s="20" t="inlineStr">
        <is>
          <t>Edge case</t>
        </is>
      </c>
      <c r="D38" s="20" t="inlineStr"/>
      <c r="E38" s="20" t="inlineStr">
        <is>
          <t>05.2</t>
        </is>
      </c>
      <c r="F38" s="20" t="inlineStr">
        <is>
          <t>Fill form</t>
        </is>
      </c>
      <c r="G38" s="20" t="inlineStr">
        <is>
          <t>Select "อื่นๆ"; company name (unique); business type "เทคโนโลยี"; users "1-20"; unique e-mail; first/last name; phone 0967690708; tick consent</t>
        </is>
      </c>
      <c r="H38" s="20" t="inlineStr">
        <is>
          <t>Fields for filling</t>
        </is>
      </c>
      <c r="I38" s="20" t="inlineStr">
        <is>
          <t>All fields accept the values, no error</t>
        </is>
      </c>
      <c r="J38" s="20" t="inlineStr">
        <is>
          <t>As expected</t>
        </is>
      </c>
      <c r="K38" s="20" t="inlineStr"/>
      <c r="L38" s="20" t="inlineStr"/>
      <c r="M38" s="20" t="inlineStr"/>
      <c r="N38" s="20" t="inlineStr"/>
      <c r="O38" s="20" t="inlineStr"/>
    </row>
    <row r="39">
      <c r="A39" s="20" t="inlineStr">
        <is>
          <t>OTP verification</t>
        </is>
      </c>
      <c r="B39" s="20" t="inlineStr">
        <is>
          <t>TC-OTP-05</t>
        </is>
      </c>
      <c r="C39" s="20" t="inlineStr">
        <is>
          <t>Edge case</t>
        </is>
      </c>
      <c r="D39" s="20" t="inlineStr"/>
      <c r="E39" s="20" t="inlineStr">
        <is>
          <t>05.3</t>
        </is>
      </c>
      <c r="F39" s="20" t="inlineStr">
        <is>
          <t>Submit</t>
        </is>
      </c>
      <c r="G39" s="20" t="inlineStr">
        <is>
          <t>Click "ทดลองใช้ฟรี"</t>
        </is>
      </c>
      <c r="H39" s="20" t="inlineStr">
        <is>
          <t>Button / Redirect Screen</t>
        </is>
      </c>
      <c r="I39" s="20" t="inlineStr">
        <is>
          <t>OTP dialog "กรุณาตรวจสอบข้อความ" with 6 OTP boxes is shown</t>
        </is>
      </c>
      <c r="J39" s="20" t="inlineStr">
        <is>
          <t>As expected</t>
        </is>
      </c>
      <c r="K39" s="20" t="inlineStr"/>
      <c r="L39" s="20" t="inlineStr"/>
      <c r="M39" s="20" t="inlineStr"/>
      <c r="N39" s="20" t="inlineStr"/>
      <c r="O39" s="20" t="inlineStr"/>
    </row>
    <row r="40">
      <c r="A40" s="20" t="inlineStr">
        <is>
          <t>OTP verification</t>
        </is>
      </c>
      <c r="B40" s="20" t="inlineStr">
        <is>
          <t>TC-OTP-05</t>
        </is>
      </c>
      <c r="C40" s="20" t="inlineStr">
        <is>
          <t>Edge case</t>
        </is>
      </c>
      <c r="D40" s="20" t="inlineStr"/>
      <c r="E40" s="20" t="inlineStr">
        <is>
          <t>05.4</t>
        </is>
      </c>
      <c r="F40" s="20" t="inlineStr">
        <is>
          <t>Non-digits</t>
        </is>
      </c>
      <c r="G40" s="20" t="inlineStr">
        <is>
          <t>Type ab!@cd</t>
        </is>
      </c>
      <c r="H40" s="20" t="inlineStr">
        <is>
          <t>Fields for filling</t>
        </is>
      </c>
      <c r="I40" s="20" t="inlineStr">
        <is>
          <t>Boxes stay empty; "ยืนยัน" disabled</t>
        </is>
      </c>
      <c r="J40" s="20" t="inlineStr">
        <is>
          <t>As expected</t>
        </is>
      </c>
      <c r="K40" s="20" t="inlineStr">
        <is>
          <t>Pass</t>
        </is>
      </c>
      <c r="L40" s="21">
        <f>HYPERLINK("https://github.com/Yatichapat6510/empeo-registration-tests/blob/main/docs/report/01-html-report-summary.jpg","HTML report (all tests)")</f>
        <v/>
      </c>
      <c r="M40" s="20" t="inlineStr">
        <is>
          <t>Newyear (Yatichapat Kanta)</t>
        </is>
      </c>
      <c r="N40" s="20" t="inlineStr">
        <is>
          <t>27/10/2026</t>
        </is>
      </c>
      <c r="O40" s="20" t="inlineStr">
        <is>
          <t>otp.spec.js › TC-OTP-05</t>
        </is>
      </c>
    </row>
    <row r="41">
      <c r="A41" s="9" t="inlineStr">
        <is>
          <t>OTP verification</t>
        </is>
      </c>
      <c r="B41" s="9" t="inlineStr">
        <is>
          <t>TC-OTP-06</t>
        </is>
      </c>
      <c r="C41" s="9" t="inlineStr">
        <is>
          <t>Normal case</t>
        </is>
      </c>
      <c r="D41" s="9" t="inlineStr">
        <is>
          <t>Resend OTP after 30-second countdown</t>
        </is>
      </c>
      <c r="E41" s="9" t="inlineStr">
        <is>
          <t>06.1</t>
        </is>
      </c>
      <c r="F41" s="9" t="inlineStr">
        <is>
          <t>Open page</t>
        </is>
      </c>
      <c r="G41" s="9" t="inlineStr">
        <is>
          <t>Open /Register/empeo</t>
        </is>
      </c>
      <c r="H41" s="9" t="inlineStr">
        <is>
          <t>Redirect Screen</t>
        </is>
      </c>
      <c r="I41" s="9" t="inlineStr">
        <is>
          <t>Registration form "ทดลองใช้งาน empeo ฟรี!" is shown</t>
        </is>
      </c>
      <c r="J41" s="9" t="inlineStr">
        <is>
          <t>As expected</t>
        </is>
      </c>
      <c r="K41" s="9" t="inlineStr"/>
      <c r="L41" s="9" t="inlineStr"/>
      <c r="M41" s="9" t="inlineStr"/>
      <c r="N41" s="9" t="inlineStr"/>
      <c r="O41" s="9" t="inlineStr"/>
    </row>
    <row r="42">
      <c r="A42" s="9" t="inlineStr">
        <is>
          <t>OTP verification</t>
        </is>
      </c>
      <c r="B42" s="9" t="inlineStr">
        <is>
          <t>TC-OTP-06</t>
        </is>
      </c>
      <c r="C42" s="9" t="inlineStr">
        <is>
          <t>Normal case</t>
        </is>
      </c>
      <c r="D42" s="9" t="inlineStr"/>
      <c r="E42" s="9" t="inlineStr">
        <is>
          <t>06.2</t>
        </is>
      </c>
      <c r="F42" s="9" t="inlineStr">
        <is>
          <t>Fill form</t>
        </is>
      </c>
      <c r="G42" s="9" t="inlineStr">
        <is>
          <t>Select "อื่นๆ"; company name (unique); business type "เทคโนโลยี"; users "1-20"; unique e-mail; first/last name; phone 0967690708; tick consent</t>
        </is>
      </c>
      <c r="H42" s="9" t="inlineStr">
        <is>
          <t>Fields for filling</t>
        </is>
      </c>
      <c r="I42" s="9" t="inlineStr">
        <is>
          <t>All fields accept the values, no error</t>
        </is>
      </c>
      <c r="J42" s="9" t="inlineStr">
        <is>
          <t>As expected</t>
        </is>
      </c>
      <c r="K42" s="9" t="inlineStr"/>
      <c r="L42" s="9" t="inlineStr"/>
      <c r="M42" s="9" t="inlineStr"/>
      <c r="N42" s="9" t="inlineStr"/>
      <c r="O42" s="9" t="inlineStr"/>
    </row>
    <row r="43">
      <c r="A43" s="9" t="inlineStr">
        <is>
          <t>OTP verification</t>
        </is>
      </c>
      <c r="B43" s="9" t="inlineStr">
        <is>
          <t>TC-OTP-06</t>
        </is>
      </c>
      <c r="C43" s="9" t="inlineStr">
        <is>
          <t>Normal case</t>
        </is>
      </c>
      <c r="D43" s="9" t="inlineStr"/>
      <c r="E43" s="9" t="inlineStr">
        <is>
          <t>06.3</t>
        </is>
      </c>
      <c r="F43" s="9" t="inlineStr">
        <is>
          <t>Submit</t>
        </is>
      </c>
      <c r="G43" s="9" t="inlineStr">
        <is>
          <t>Click "ทดลองใช้ฟรี"</t>
        </is>
      </c>
      <c r="H43" s="9" t="inlineStr">
        <is>
          <t>Button / Redirect Screen</t>
        </is>
      </c>
      <c r="I43" s="9" t="inlineStr">
        <is>
          <t>OTP dialog "กรุณาตรวจสอบข้อความ" with 6 OTP boxes is shown</t>
        </is>
      </c>
      <c r="J43" s="9" t="inlineStr">
        <is>
          <t>As expected</t>
        </is>
      </c>
      <c r="K43" s="9" t="inlineStr"/>
      <c r="L43" s="9" t="inlineStr"/>
      <c r="M43" s="9" t="inlineStr"/>
      <c r="N43" s="9" t="inlineStr"/>
      <c r="O43" s="9" t="inlineStr"/>
    </row>
    <row r="44">
      <c r="A44" s="9" t="inlineStr">
        <is>
          <t>OTP verification</t>
        </is>
      </c>
      <c r="B44" s="9" t="inlineStr">
        <is>
          <t>TC-OTP-06</t>
        </is>
      </c>
      <c r="C44" s="9" t="inlineStr">
        <is>
          <t>Normal case</t>
        </is>
      </c>
      <c r="D44" s="9" t="inlineStr"/>
      <c r="E44" s="9" t="inlineStr">
        <is>
          <t>06.4</t>
        </is>
      </c>
      <c r="F44" s="9" t="inlineStr">
        <is>
          <t>Countdown</t>
        </is>
      </c>
      <c r="G44" s="9" t="inlineStr">
        <is>
          <t>Observe resend area</t>
        </is>
      </c>
      <c r="H44" s="9" t="inlineStr">
        <is>
          <t>Message</t>
        </is>
      </c>
      <c r="I44" s="9" t="inlineStr">
        <is>
          <t>"รับ OTP ใหม่อีกครั้งได้ใน 0:30", no resend link</t>
        </is>
      </c>
      <c r="J44" s="9" t="inlineStr">
        <is>
          <t>As expected</t>
        </is>
      </c>
      <c r="K44" s="9" t="inlineStr"/>
      <c r="L44" s="9" t="inlineStr"/>
      <c r="M44" s="9" t="inlineStr"/>
      <c r="N44" s="9" t="inlineStr"/>
      <c r="O44" s="9" t="inlineStr"/>
    </row>
    <row r="45">
      <c r="A45" s="9" t="inlineStr">
        <is>
          <t>OTP verification</t>
        </is>
      </c>
      <c r="B45" s="9" t="inlineStr">
        <is>
          <t>TC-OTP-06</t>
        </is>
      </c>
      <c r="C45" s="9" t="inlineStr">
        <is>
          <t>Normal case</t>
        </is>
      </c>
      <c r="D45" s="9" t="inlineStr"/>
      <c r="E45" s="9" t="inlineStr">
        <is>
          <t>06.5</t>
        </is>
      </c>
      <c r="F45" s="9" t="inlineStr">
        <is>
          <t>Resend</t>
        </is>
      </c>
      <c r="G45" s="9" t="inlineStr">
        <is>
          <t>Wait until countdown ends, click "ส่งใหม่อีกครั้ง"</t>
        </is>
      </c>
      <c r="H45" s="9" t="inlineStr">
        <is>
          <t>Link / Message</t>
        </is>
      </c>
      <c r="I45" s="9" t="inlineStr">
        <is>
          <t>New ref number; countdown restarts</t>
        </is>
      </c>
      <c r="J45" s="9" t="inlineStr">
        <is>
          <t>As expected</t>
        </is>
      </c>
      <c r="K45" s="9" t="inlineStr"/>
      <c r="L45" s="9" t="inlineStr"/>
      <c r="M45" s="9" t="inlineStr"/>
      <c r="N45" s="9" t="inlineStr"/>
      <c r="O45" s="9" t="inlineStr"/>
    </row>
    <row r="46">
      <c r="A46" s="9" t="inlineStr">
        <is>
          <t>OTP verification</t>
        </is>
      </c>
      <c r="B46" s="9" t="inlineStr">
        <is>
          <t>TC-OTP-06</t>
        </is>
      </c>
      <c r="C46" s="9" t="inlineStr">
        <is>
          <t>Normal case</t>
        </is>
      </c>
      <c r="D46" s="9" t="inlineStr"/>
      <c r="E46" s="9" t="inlineStr">
        <is>
          <t>06.6</t>
        </is>
      </c>
      <c r="F46" s="9" t="inlineStr">
        <is>
          <t>Verify OTP</t>
        </is>
      </c>
      <c r="G46" s="9" t="inlineStr">
        <is>
          <t>Enter 123456, click "ยืนยัน"</t>
        </is>
      </c>
      <c r="H46" s="9" t="inlineStr">
        <is>
          <t>Redirect Screen</t>
        </is>
      </c>
      <c r="I46" s="9" t="inlineStr">
        <is>
          <t>Redirect to set-password page</t>
        </is>
      </c>
      <c r="J46" s="9" t="inlineStr">
        <is>
          <t>As expected</t>
        </is>
      </c>
      <c r="K46" s="9" t="inlineStr">
        <is>
          <t>Pass</t>
        </is>
      </c>
      <c r="L46" s="19">
        <f>HYPERLINK("https://github.com/Yatichapat6510/empeo-registration-tests/blob/main/docs/exploration/22-otp-resent.png","22-otp-resent.png")</f>
        <v/>
      </c>
      <c r="M46" s="9" t="inlineStr">
        <is>
          <t>Newyear (Yatichapat Kanta)</t>
        </is>
      </c>
      <c r="N46" s="9" t="inlineStr">
        <is>
          <t>27/10/2026</t>
        </is>
      </c>
      <c r="O46" s="9" t="inlineStr">
        <is>
          <t>otp.spec.js › TC-OTP-06</t>
        </is>
      </c>
    </row>
    <row r="47">
      <c r="A47" s="20" t="inlineStr">
        <is>
          <t>OTP verification</t>
        </is>
      </c>
      <c r="B47" s="20" t="inlineStr">
        <is>
          <t>TC-OTP-07</t>
        </is>
      </c>
      <c r="C47" s="20" t="inlineStr">
        <is>
          <t>Edge case</t>
        </is>
      </c>
      <c r="D47" s="20" t="inlineStr">
        <is>
          <t>Expired OTP (server response simulated)</t>
        </is>
      </c>
      <c r="E47" s="20" t="inlineStr">
        <is>
          <t>07.1</t>
        </is>
      </c>
      <c r="F47" s="20" t="inlineStr">
        <is>
          <t>Open page</t>
        </is>
      </c>
      <c r="G47" s="20" t="inlineStr">
        <is>
          <t>Open /Register/empeo</t>
        </is>
      </c>
      <c r="H47" s="20" t="inlineStr">
        <is>
          <t>Redirect Screen</t>
        </is>
      </c>
      <c r="I47" s="20" t="inlineStr">
        <is>
          <t>Registration form "ทดลองใช้งาน empeo ฟรี!" is shown</t>
        </is>
      </c>
      <c r="J47" s="20" t="inlineStr">
        <is>
          <t>As expected</t>
        </is>
      </c>
      <c r="K47" s="20" t="inlineStr"/>
      <c r="L47" s="20" t="inlineStr"/>
      <c r="M47" s="20" t="inlineStr"/>
      <c r="N47" s="20" t="inlineStr"/>
      <c r="O47" s="20" t="inlineStr"/>
    </row>
    <row r="48">
      <c r="A48" s="20" t="inlineStr">
        <is>
          <t>OTP verification</t>
        </is>
      </c>
      <c r="B48" s="20" t="inlineStr">
        <is>
          <t>TC-OTP-07</t>
        </is>
      </c>
      <c r="C48" s="20" t="inlineStr">
        <is>
          <t>Edge case</t>
        </is>
      </c>
      <c r="D48" s="20" t="inlineStr"/>
      <c r="E48" s="20" t="inlineStr">
        <is>
          <t>07.2</t>
        </is>
      </c>
      <c r="F48" s="20" t="inlineStr">
        <is>
          <t>Fill form</t>
        </is>
      </c>
      <c r="G48" s="20" t="inlineStr">
        <is>
          <t>Select "อื่นๆ"; company name (unique); business type "เทคโนโลยี"; users "1-20"; unique e-mail; first/last name; phone 0967690708; tick consent</t>
        </is>
      </c>
      <c r="H48" s="20" t="inlineStr">
        <is>
          <t>Fields for filling</t>
        </is>
      </c>
      <c r="I48" s="20" t="inlineStr">
        <is>
          <t>All fields accept the values, no error</t>
        </is>
      </c>
      <c r="J48" s="20" t="inlineStr">
        <is>
          <t>As expected</t>
        </is>
      </c>
      <c r="K48" s="20" t="inlineStr"/>
      <c r="L48" s="20" t="inlineStr"/>
      <c r="M48" s="20" t="inlineStr"/>
      <c r="N48" s="20" t="inlineStr"/>
      <c r="O48" s="20" t="inlineStr"/>
    </row>
    <row r="49">
      <c r="A49" s="20" t="inlineStr">
        <is>
          <t>OTP verification</t>
        </is>
      </c>
      <c r="B49" s="20" t="inlineStr">
        <is>
          <t>TC-OTP-07</t>
        </is>
      </c>
      <c r="C49" s="20" t="inlineStr">
        <is>
          <t>Edge case</t>
        </is>
      </c>
      <c r="D49" s="20" t="inlineStr"/>
      <c r="E49" s="20" t="inlineStr">
        <is>
          <t>07.3</t>
        </is>
      </c>
      <c r="F49" s="20" t="inlineStr">
        <is>
          <t>Submit</t>
        </is>
      </c>
      <c r="G49" s="20" t="inlineStr">
        <is>
          <t>Click "ทดลองใช้ฟรี"</t>
        </is>
      </c>
      <c r="H49" s="20" t="inlineStr">
        <is>
          <t>Button / Redirect Screen</t>
        </is>
      </c>
      <c r="I49" s="20" t="inlineStr">
        <is>
          <t>OTP dialog "กรุณาตรวจสอบข้อความ" with 6 OTP boxes is shown</t>
        </is>
      </c>
      <c r="J49" s="20" t="inlineStr">
        <is>
          <t>As expected</t>
        </is>
      </c>
      <c r="K49" s="20" t="inlineStr"/>
      <c r="L49" s="20" t="inlineStr"/>
      <c r="M49" s="20" t="inlineStr"/>
      <c r="N49" s="20" t="inlineStr"/>
      <c r="O49" s="20" t="inlineStr"/>
    </row>
    <row r="50">
      <c r="A50" s="20" t="inlineStr">
        <is>
          <t>OTP verification</t>
        </is>
      </c>
      <c r="B50" s="20" t="inlineStr">
        <is>
          <t>TC-OTP-07</t>
        </is>
      </c>
      <c r="C50" s="20" t="inlineStr">
        <is>
          <t>Edge case</t>
        </is>
      </c>
      <c r="D50" s="20" t="inlineStr"/>
      <c r="E50" s="20" t="inlineStr">
        <is>
          <t>07.4</t>
        </is>
      </c>
      <c r="F50" s="20" t="inlineStr">
        <is>
          <t>Simulate expiry</t>
        </is>
      </c>
      <c r="G50" s="20" t="inlineStr">
        <is>
          <t>verify-otp returns business error (code 4001)</t>
        </is>
      </c>
      <c r="H50" s="20" t="inlineStr">
        <is>
          <t>-</t>
        </is>
      </c>
      <c r="I50" s="20" t="inlineStr">
        <is>
          <t>Mock active</t>
        </is>
      </c>
      <c r="J50" s="20" t="inlineStr">
        <is>
          <t>As expected</t>
        </is>
      </c>
      <c r="K50" s="20" t="inlineStr"/>
      <c r="L50" s="20" t="inlineStr"/>
      <c r="M50" s="20" t="inlineStr"/>
      <c r="N50" s="20" t="inlineStr"/>
      <c r="O50" s="20" t="inlineStr"/>
    </row>
    <row r="51">
      <c r="A51" s="20" t="inlineStr">
        <is>
          <t>OTP verification</t>
        </is>
      </c>
      <c r="B51" s="20" t="inlineStr">
        <is>
          <t>TC-OTP-07</t>
        </is>
      </c>
      <c r="C51" s="20" t="inlineStr">
        <is>
          <t>Edge case</t>
        </is>
      </c>
      <c r="D51" s="20" t="inlineStr"/>
      <c r="E51" s="20" t="inlineStr">
        <is>
          <t>07.5</t>
        </is>
      </c>
      <c r="F51" s="20" t="inlineStr">
        <is>
          <t>Verify OTP</t>
        </is>
      </c>
      <c r="G51" s="20" t="inlineStr">
        <is>
          <t>Enter 123456, click "ยืนยัน"</t>
        </is>
      </c>
      <c r="H51" s="20" t="inlineStr">
        <is>
          <t>Message / Redirect Screen</t>
        </is>
      </c>
      <c r="I51" s="20" t="inlineStr">
        <is>
          <t>Error toast shown; no redirect</t>
        </is>
      </c>
      <c r="J51" s="20" t="inlineStr">
        <is>
          <t>As expected</t>
        </is>
      </c>
      <c r="K51" s="20" t="inlineStr">
        <is>
          <t>Pass</t>
        </is>
      </c>
      <c r="L51" s="21">
        <f>HYPERLINK("https://github.com/Yatichapat6510/empeo-registration-tests/blob/main/docs/report/01-html-report-summary.jpg","HTML report (all tests)")</f>
        <v/>
      </c>
      <c r="M51" s="20" t="inlineStr">
        <is>
          <t>Newyear (Yatichapat Kanta)</t>
        </is>
      </c>
      <c r="N51" s="20" t="inlineStr">
        <is>
          <t>27/10/2026</t>
        </is>
      </c>
      <c r="O51" s="20" t="inlineStr">
        <is>
          <t>otp.spec.js › TC-OTP-07</t>
        </is>
      </c>
    </row>
    <row r="52">
      <c r="A52" s="9" t="inlineStr">
        <is>
          <t>OTP verification</t>
        </is>
      </c>
      <c r="B52" s="9" t="inlineStr">
        <is>
          <t>TC-OTP-08</t>
        </is>
      </c>
      <c r="C52" s="9" t="inlineStr">
        <is>
          <t>Normal case</t>
        </is>
      </c>
      <c r="D52" s="9" t="inlineStr">
        <is>
          <t>Close OTP dialog keeps form data</t>
        </is>
      </c>
      <c r="E52" s="9" t="inlineStr">
        <is>
          <t>08.1</t>
        </is>
      </c>
      <c r="F52" s="9" t="inlineStr">
        <is>
          <t>Open page</t>
        </is>
      </c>
      <c r="G52" s="9" t="inlineStr">
        <is>
          <t>Open /Register/empeo</t>
        </is>
      </c>
      <c r="H52" s="9" t="inlineStr">
        <is>
          <t>Redirect Screen</t>
        </is>
      </c>
      <c r="I52" s="9" t="inlineStr">
        <is>
          <t>Registration form "ทดลองใช้งาน empeo ฟรี!" is shown</t>
        </is>
      </c>
      <c r="J52" s="9" t="inlineStr">
        <is>
          <t>As expected</t>
        </is>
      </c>
      <c r="K52" s="9" t="inlineStr"/>
      <c r="L52" s="9" t="inlineStr"/>
      <c r="M52" s="9" t="inlineStr"/>
      <c r="N52" s="9" t="inlineStr"/>
      <c r="O52" s="9" t="inlineStr"/>
    </row>
    <row r="53">
      <c r="A53" s="9" t="inlineStr">
        <is>
          <t>OTP verification</t>
        </is>
      </c>
      <c r="B53" s="9" t="inlineStr">
        <is>
          <t>TC-OTP-08</t>
        </is>
      </c>
      <c r="C53" s="9" t="inlineStr">
        <is>
          <t>Normal case</t>
        </is>
      </c>
      <c r="D53" s="9" t="inlineStr"/>
      <c r="E53" s="9" t="inlineStr">
        <is>
          <t>08.2</t>
        </is>
      </c>
      <c r="F53" s="9" t="inlineStr">
        <is>
          <t>Fill form</t>
        </is>
      </c>
      <c r="G53" s="9" t="inlineStr">
        <is>
          <t>Select "อื่นๆ"; company name (unique); business type "เทคโนโลยี"; users "1-20"; unique e-mail; first/last name; phone 0967690708; tick consent</t>
        </is>
      </c>
      <c r="H53" s="9" t="inlineStr">
        <is>
          <t>Fields for filling</t>
        </is>
      </c>
      <c r="I53" s="9" t="inlineStr">
        <is>
          <t>All fields accept the values, no error</t>
        </is>
      </c>
      <c r="J53" s="9" t="inlineStr">
        <is>
          <t>As expected</t>
        </is>
      </c>
      <c r="K53" s="9" t="inlineStr"/>
      <c r="L53" s="9" t="inlineStr"/>
      <c r="M53" s="9" t="inlineStr"/>
      <c r="N53" s="9" t="inlineStr"/>
      <c r="O53" s="9" t="inlineStr"/>
    </row>
    <row r="54">
      <c r="A54" s="9" t="inlineStr">
        <is>
          <t>OTP verification</t>
        </is>
      </c>
      <c r="B54" s="9" t="inlineStr">
        <is>
          <t>TC-OTP-08</t>
        </is>
      </c>
      <c r="C54" s="9" t="inlineStr">
        <is>
          <t>Normal case</t>
        </is>
      </c>
      <c r="D54" s="9" t="inlineStr"/>
      <c r="E54" s="9" t="inlineStr">
        <is>
          <t>08.3</t>
        </is>
      </c>
      <c r="F54" s="9" t="inlineStr">
        <is>
          <t>Submit</t>
        </is>
      </c>
      <c r="G54" s="9" t="inlineStr">
        <is>
          <t>Click "ทดลองใช้ฟรี"</t>
        </is>
      </c>
      <c r="H54" s="9" t="inlineStr">
        <is>
          <t>Button / Redirect Screen</t>
        </is>
      </c>
      <c r="I54" s="9" t="inlineStr">
        <is>
          <t>OTP dialog "กรุณาตรวจสอบข้อความ" with 6 OTP boxes is shown</t>
        </is>
      </c>
      <c r="J54" s="9" t="inlineStr">
        <is>
          <t>As expected</t>
        </is>
      </c>
      <c r="K54" s="9" t="inlineStr"/>
      <c r="L54" s="9" t="inlineStr"/>
      <c r="M54" s="9" t="inlineStr"/>
      <c r="N54" s="9" t="inlineStr"/>
      <c r="O54" s="9" t="inlineStr"/>
    </row>
    <row r="55">
      <c r="A55" s="9" t="inlineStr">
        <is>
          <t>OTP verification</t>
        </is>
      </c>
      <c r="B55" s="9" t="inlineStr">
        <is>
          <t>TC-OTP-08</t>
        </is>
      </c>
      <c r="C55" s="9" t="inlineStr">
        <is>
          <t>Normal case</t>
        </is>
      </c>
      <c r="D55" s="9" t="inlineStr"/>
      <c r="E55" s="9" t="inlineStr">
        <is>
          <t>08.4</t>
        </is>
      </c>
      <c r="F55" s="9" t="inlineStr">
        <is>
          <t>Close</t>
        </is>
      </c>
      <c r="G55" s="9" t="inlineStr">
        <is>
          <t>Click X on the dialog</t>
        </is>
      </c>
      <c r="H55" s="9" t="inlineStr">
        <is>
          <t>Redirect Screen / Fields</t>
        </is>
      </c>
      <c r="I55" s="9" t="inlineStr">
        <is>
          <t>Dialog closed; e-mail and phone still filled</t>
        </is>
      </c>
      <c r="J55" s="9" t="inlineStr">
        <is>
          <t>As expected</t>
        </is>
      </c>
      <c r="K55" s="9" t="inlineStr">
        <is>
          <t>Pass</t>
        </is>
      </c>
      <c r="L55" s="19">
        <f>HYPERLINK("https://github.com/Yatichapat6510/empeo-registration-tests/blob/main/docs/report/01-html-report-summary.jpg","HTML report (all tests)")</f>
        <v/>
      </c>
      <c r="M55" s="9" t="inlineStr">
        <is>
          <t>Newyear (Yatichapat Kanta)</t>
        </is>
      </c>
      <c r="N55" s="9" t="inlineStr">
        <is>
          <t>27/10/2026</t>
        </is>
      </c>
      <c r="O55" s="9" t="inlineStr">
        <is>
          <t>otp.spec.js › TC-OTP-08</t>
        </is>
      </c>
    </row>
    <row r="56">
      <c r="A56" s="20" t="inlineStr">
        <is>
          <t>Promo code</t>
        </is>
      </c>
      <c r="B56" s="20" t="inlineStr">
        <is>
          <t>TC-PRM-01</t>
        </is>
      </c>
      <c r="C56" s="20" t="inlineStr">
        <is>
          <t>Normal case</t>
        </is>
      </c>
      <c r="D56" s="20" t="inlineStr">
        <is>
          <t>Valid promo FREE15DAY</t>
        </is>
      </c>
      <c r="E56" s="20" t="inlineStr">
        <is>
          <t>01.1</t>
        </is>
      </c>
      <c r="F56" s="20" t="inlineStr">
        <is>
          <t>Open page</t>
        </is>
      </c>
      <c r="G56" s="20" t="inlineStr">
        <is>
          <t>Open /Register/empeo</t>
        </is>
      </c>
      <c r="H56" s="20" t="inlineStr">
        <is>
          <t>Redirect Screen</t>
        </is>
      </c>
      <c r="I56" s="20" t="inlineStr">
        <is>
          <t>Registration form "ทดลองใช้งาน empeo ฟรี!" is shown</t>
        </is>
      </c>
      <c r="J56" s="20" t="inlineStr">
        <is>
          <t>As expected</t>
        </is>
      </c>
      <c r="K56" s="20" t="inlineStr"/>
      <c r="L56" s="20" t="inlineStr"/>
      <c r="M56" s="20" t="inlineStr"/>
      <c r="N56" s="20" t="inlineStr"/>
      <c r="O56" s="20" t="inlineStr"/>
    </row>
    <row r="57">
      <c r="A57" s="20" t="inlineStr">
        <is>
          <t>Promo code</t>
        </is>
      </c>
      <c r="B57" s="20" t="inlineStr">
        <is>
          <t>TC-PRM-01</t>
        </is>
      </c>
      <c r="C57" s="20" t="inlineStr">
        <is>
          <t>Normal case</t>
        </is>
      </c>
      <c r="D57" s="20" t="inlineStr"/>
      <c r="E57" s="20" t="inlineStr">
        <is>
          <t>01.2</t>
        </is>
      </c>
      <c r="F57" s="20" t="inlineStr">
        <is>
          <t>Promo code</t>
        </is>
      </c>
      <c r="G57" s="20" t="inlineStr">
        <is>
          <t>Click "ใช้โค้ดส่วนลด", enter FREE15DAY, click "ใช้โค้ด"</t>
        </is>
      </c>
      <c r="H57" s="20" t="inlineStr">
        <is>
          <t>button / API</t>
        </is>
      </c>
      <c r="I57" s="20" t="inlineStr">
        <is>
          <t>coupon-validation 200, isValid=true; code shown as applied; input hidden</t>
        </is>
      </c>
      <c r="J57" s="20" t="inlineStr">
        <is>
          <t>As expected</t>
        </is>
      </c>
      <c r="K57" s="20" t="inlineStr">
        <is>
          <t>Pass</t>
        </is>
      </c>
      <c r="L57" s="21">
        <f>HYPERLINK("https://github.com/Yatichapat6510/empeo-registration-tests/blob/main/docs/exploration/10-promo-valid.png","10-promo-valid.png")</f>
        <v/>
      </c>
      <c r="M57" s="20" t="inlineStr">
        <is>
          <t>Newyear (Yatichapat Kanta)</t>
        </is>
      </c>
      <c r="N57" s="20" t="inlineStr">
        <is>
          <t>27/10/2026</t>
        </is>
      </c>
      <c r="O57" s="20" t="inlineStr">
        <is>
          <t>promo.spec.js › TC-PRM-01</t>
        </is>
      </c>
    </row>
    <row r="58">
      <c r="A58" s="9" t="inlineStr">
        <is>
          <t>Promo code</t>
        </is>
      </c>
      <c r="B58" s="9" t="inlineStr">
        <is>
          <t>TC-PRM-02</t>
        </is>
      </c>
      <c r="C58" s="9" t="inlineStr">
        <is>
          <t>Error case</t>
        </is>
      </c>
      <c r="D58" s="9" t="inlineStr">
        <is>
          <t>Invalid promo (INVALID999, FREE15DAYX, 12345)</t>
        </is>
      </c>
      <c r="E58" s="9" t="inlineStr">
        <is>
          <t>02.1</t>
        </is>
      </c>
      <c r="F58" s="9" t="inlineStr">
        <is>
          <t>Open page</t>
        </is>
      </c>
      <c r="G58" s="9" t="inlineStr">
        <is>
          <t>Open /Register/empeo</t>
        </is>
      </c>
      <c r="H58" s="9" t="inlineStr">
        <is>
          <t>Redirect Screen</t>
        </is>
      </c>
      <c r="I58" s="9" t="inlineStr">
        <is>
          <t>Registration form "ทดลองใช้งาน empeo ฟรี!" is shown</t>
        </is>
      </c>
      <c r="J58" s="9" t="inlineStr">
        <is>
          <t>As expected</t>
        </is>
      </c>
      <c r="K58" s="9" t="inlineStr"/>
      <c r="L58" s="9" t="inlineStr"/>
      <c r="M58" s="9" t="inlineStr"/>
      <c r="N58" s="9" t="inlineStr"/>
      <c r="O58" s="9" t="inlineStr"/>
    </row>
    <row r="59">
      <c r="A59" s="9" t="inlineStr">
        <is>
          <t>Promo code</t>
        </is>
      </c>
      <c r="B59" s="9" t="inlineStr">
        <is>
          <t>TC-PRM-02</t>
        </is>
      </c>
      <c r="C59" s="9" t="inlineStr">
        <is>
          <t>Error case</t>
        </is>
      </c>
      <c r="D59" s="9" t="inlineStr"/>
      <c r="E59" s="9" t="inlineStr">
        <is>
          <t>02.2</t>
        </is>
      </c>
      <c r="F59" s="9" t="inlineStr">
        <is>
          <t>Promo code</t>
        </is>
      </c>
      <c r="G59" s="9" t="inlineStr">
        <is>
          <t>Apply each invalid code</t>
        </is>
      </c>
      <c r="H59" s="9" t="inlineStr">
        <is>
          <t>Message</t>
        </is>
      </c>
      <c r="I59" s="9" t="inlineStr">
        <is>
          <t>"คูปองโค้ดไม่ถูกต้อง"; code not applied</t>
        </is>
      </c>
      <c r="J59" s="9" t="inlineStr">
        <is>
          <t>As expected</t>
        </is>
      </c>
      <c r="K59" s="9" t="inlineStr">
        <is>
          <t>Pass</t>
        </is>
      </c>
      <c r="L59" s="19">
        <f>HYPERLINK("https://github.com/Yatichapat6510/empeo-registration-tests/blob/main/docs/exploration/09-promo-invalid.png","09-promo-invalid.png")</f>
        <v/>
      </c>
      <c r="M59" s="9" t="inlineStr">
        <is>
          <t>Newyear (Yatichapat Kanta)</t>
        </is>
      </c>
      <c r="N59" s="9" t="inlineStr">
        <is>
          <t>27/10/2026</t>
        </is>
      </c>
      <c r="O59" s="9" t="inlineStr">
        <is>
          <t>promo.spec.js › TC-PRM-02 (x3)</t>
        </is>
      </c>
    </row>
    <row r="60">
      <c r="A60" s="20" t="inlineStr">
        <is>
          <t>Promo code</t>
        </is>
      </c>
      <c r="B60" s="20" t="inlineStr">
        <is>
          <t>TC-PRM-03</t>
        </is>
      </c>
      <c r="C60" s="20" t="inlineStr">
        <is>
          <t>Normal case</t>
        </is>
      </c>
      <c r="D60" s="20" t="inlineStr">
        <is>
          <t>Correct an invalid code to a valid one</t>
        </is>
      </c>
      <c r="E60" s="20" t="inlineStr">
        <is>
          <t>03.1</t>
        </is>
      </c>
      <c r="F60" s="20" t="inlineStr">
        <is>
          <t>Open page</t>
        </is>
      </c>
      <c r="G60" s="20" t="inlineStr">
        <is>
          <t>Open /Register/empeo</t>
        </is>
      </c>
      <c r="H60" s="20" t="inlineStr">
        <is>
          <t>Redirect Screen</t>
        </is>
      </c>
      <c r="I60" s="20" t="inlineStr">
        <is>
          <t>Registration form "ทดลองใช้งาน empeo ฟรี!" is shown</t>
        </is>
      </c>
      <c r="J60" s="20" t="inlineStr">
        <is>
          <t>As expected</t>
        </is>
      </c>
      <c r="K60" s="20" t="inlineStr"/>
      <c r="L60" s="20" t="inlineStr"/>
      <c r="M60" s="20" t="inlineStr"/>
      <c r="N60" s="20" t="inlineStr"/>
      <c r="O60" s="20" t="inlineStr"/>
    </row>
    <row r="61">
      <c r="A61" s="20" t="inlineStr">
        <is>
          <t>Promo code</t>
        </is>
      </c>
      <c r="B61" s="20" t="inlineStr">
        <is>
          <t>TC-PRM-03</t>
        </is>
      </c>
      <c r="C61" s="20" t="inlineStr">
        <is>
          <t>Normal case</t>
        </is>
      </c>
      <c r="D61" s="20" t="inlineStr"/>
      <c r="E61" s="20" t="inlineStr">
        <is>
          <t>03.2</t>
        </is>
      </c>
      <c r="F61" s="20" t="inlineStr">
        <is>
          <t>Invalid code</t>
        </is>
      </c>
      <c r="G61" s="20" t="inlineStr">
        <is>
          <t>Apply WRONGCODE</t>
        </is>
      </c>
      <c r="H61" s="20" t="inlineStr">
        <is>
          <t>Message</t>
        </is>
      </c>
      <c r="I61" s="20" t="inlineStr">
        <is>
          <t>"คูปองโค้ดไม่ถูกต้อง"</t>
        </is>
      </c>
      <c r="J61" s="20" t="inlineStr">
        <is>
          <t>As expected</t>
        </is>
      </c>
      <c r="K61" s="20" t="inlineStr"/>
      <c r="L61" s="20" t="inlineStr"/>
      <c r="M61" s="20" t="inlineStr"/>
      <c r="N61" s="20" t="inlineStr"/>
      <c r="O61" s="20" t="inlineStr"/>
    </row>
    <row r="62">
      <c r="A62" s="20" t="inlineStr">
        <is>
          <t>Promo code</t>
        </is>
      </c>
      <c r="B62" s="20" t="inlineStr">
        <is>
          <t>TC-PRM-03</t>
        </is>
      </c>
      <c r="C62" s="20" t="inlineStr">
        <is>
          <t>Normal case</t>
        </is>
      </c>
      <c r="D62" s="20" t="inlineStr"/>
      <c r="E62" s="20" t="inlineStr">
        <is>
          <t>03.3</t>
        </is>
      </c>
      <c r="F62" s="20" t="inlineStr">
        <is>
          <t>Valid code</t>
        </is>
      </c>
      <c r="G62" s="20" t="inlineStr">
        <is>
          <t>Apply FREE15DAY</t>
        </is>
      </c>
      <c r="H62" s="20" t="inlineStr">
        <is>
          <t>Message</t>
        </is>
      </c>
      <c r="I62" s="20" t="inlineStr">
        <is>
          <t>Error gone; FREE15DAY applied</t>
        </is>
      </c>
      <c r="J62" s="20" t="inlineStr">
        <is>
          <t>As expected</t>
        </is>
      </c>
      <c r="K62" s="20" t="inlineStr">
        <is>
          <t>Pass</t>
        </is>
      </c>
      <c r="L62" s="21">
        <f>HYPERLINK("https://github.com/Yatichapat6510/empeo-registration-tests/blob/main/docs/report/01-html-report-summary.jpg","HTML report (all tests)")</f>
        <v/>
      </c>
      <c r="M62" s="20" t="inlineStr">
        <is>
          <t>Newyear (Yatichapat Kanta)</t>
        </is>
      </c>
      <c r="N62" s="20" t="inlineStr">
        <is>
          <t>27/10/2026</t>
        </is>
      </c>
      <c r="O62" s="20" t="inlineStr">
        <is>
          <t>promo.spec.js › TC-PRM-03</t>
        </is>
      </c>
    </row>
    <row r="63">
      <c r="A63" s="9" t="inlineStr">
        <is>
          <t>Promo code</t>
        </is>
      </c>
      <c r="B63" s="9" t="inlineStr">
        <is>
          <t>TC-PRM-04</t>
        </is>
      </c>
      <c r="C63" s="9" t="inlineStr">
        <is>
          <t>Edge case</t>
        </is>
      </c>
      <c r="D63" s="9" t="inlineStr">
        <is>
          <t>Reused promo code (FREE15DAY in a second registration)</t>
        </is>
      </c>
      <c r="E63" s="9" t="inlineStr">
        <is>
          <t>04.1</t>
        </is>
      </c>
      <c r="F63" s="9" t="inlineStr">
        <is>
          <t>Open page</t>
        </is>
      </c>
      <c r="G63" s="9" t="inlineStr">
        <is>
          <t>Open /Register/empeo</t>
        </is>
      </c>
      <c r="H63" s="9" t="inlineStr">
        <is>
          <t>Redirect Screen</t>
        </is>
      </c>
      <c r="I63" s="9" t="inlineStr">
        <is>
          <t>Registration form "ทดลองใช้งาน empeo ฟรี!" is shown</t>
        </is>
      </c>
      <c r="J63" s="9" t="inlineStr">
        <is>
          <t>As expected</t>
        </is>
      </c>
      <c r="K63" s="9" t="inlineStr"/>
      <c r="L63" s="9" t="inlineStr"/>
      <c r="M63" s="9" t="inlineStr"/>
      <c r="N63" s="9" t="inlineStr"/>
      <c r="O63" s="9" t="inlineStr"/>
    </row>
    <row r="64">
      <c r="A64" s="9" t="inlineStr">
        <is>
          <t>Promo code</t>
        </is>
      </c>
      <c r="B64" s="9" t="inlineStr">
        <is>
          <t>TC-PRM-04</t>
        </is>
      </c>
      <c r="C64" s="9" t="inlineStr">
        <is>
          <t>Edge case</t>
        </is>
      </c>
      <c r="D64" s="9" t="inlineStr"/>
      <c r="E64" s="9" t="inlineStr">
        <is>
          <t>04.2</t>
        </is>
      </c>
      <c r="F64" s="9" t="inlineStr">
        <is>
          <t>First use</t>
        </is>
      </c>
      <c r="G64" s="9" t="inlineStr">
        <is>
          <t>Apply FREE15DAY</t>
        </is>
      </c>
      <c r="H64" s="9" t="inlineStr">
        <is>
          <t>Message</t>
        </is>
      </c>
      <c r="I64" s="9" t="inlineStr">
        <is>
          <t>Applied</t>
        </is>
      </c>
      <c r="J64" s="9" t="inlineStr">
        <is>
          <t>As expected</t>
        </is>
      </c>
      <c r="K64" s="9" t="inlineStr"/>
      <c r="L64" s="9" t="inlineStr"/>
      <c r="M64" s="9" t="inlineStr"/>
      <c r="N64" s="9" t="inlineStr"/>
      <c r="O64" s="9" t="inlineStr"/>
    </row>
    <row r="65">
      <c r="A65" s="9" t="inlineStr">
        <is>
          <t>Promo code</t>
        </is>
      </c>
      <c r="B65" s="9" t="inlineStr">
        <is>
          <t>TC-PRM-04</t>
        </is>
      </c>
      <c r="C65" s="9" t="inlineStr">
        <is>
          <t>Edge case</t>
        </is>
      </c>
      <c r="D65" s="9" t="inlineStr"/>
      <c r="E65" s="9" t="inlineStr">
        <is>
          <t>04.3</t>
        </is>
      </c>
      <c r="F65" s="9" t="inlineStr">
        <is>
          <t>Second use</t>
        </is>
      </c>
      <c r="G65" s="9" t="inlineStr">
        <is>
          <t>New browser session, open page, apply FREE15DAY</t>
        </is>
      </c>
      <c r="H65" s="9" t="inlineStr">
        <is>
          <t>Message</t>
        </is>
      </c>
      <c r="I65" s="9" t="inlineStr">
        <is>
          <t>Applied again (multi-use code) – see BUG-04</t>
        </is>
      </c>
      <c r="J65" s="9" t="inlineStr">
        <is>
          <t>As expected</t>
        </is>
      </c>
      <c r="K65" s="9" t="inlineStr">
        <is>
          <t>Pass</t>
        </is>
      </c>
      <c r="L65" s="19">
        <f>HYPERLINK("https://github.com/Yatichapat6510/empeo-registration-tests/blob/main/docs/report/01-html-report-summary.jpg","HTML report (all tests)")</f>
        <v/>
      </c>
      <c r="M65" s="9" t="inlineStr">
        <is>
          <t>Newyear (Yatichapat Kanta)</t>
        </is>
      </c>
      <c r="N65" s="9" t="inlineStr">
        <is>
          <t>27/10/2026</t>
        </is>
      </c>
      <c r="O65" s="9" t="inlineStr">
        <is>
          <t>promo.spec.js › TC-PRM-04</t>
        </is>
      </c>
    </row>
    <row r="66">
      <c r="A66" s="20" t="inlineStr">
        <is>
          <t>Validation / error handling</t>
        </is>
      </c>
      <c r="B66" s="20" t="inlineStr">
        <is>
          <t>TC-VAL-01</t>
        </is>
      </c>
      <c r="C66" s="20" t="inlineStr">
        <is>
          <t>Error case</t>
        </is>
      </c>
      <c r="D66" s="20" t="inlineStr">
        <is>
          <t>Submit empty form</t>
        </is>
      </c>
      <c r="E66" s="20" t="inlineStr">
        <is>
          <t>01.1</t>
        </is>
      </c>
      <c r="F66" s="20" t="inlineStr">
        <is>
          <t>Open page</t>
        </is>
      </c>
      <c r="G66" s="20" t="inlineStr">
        <is>
          <t>Open /Register/empeo</t>
        </is>
      </c>
      <c r="H66" s="20" t="inlineStr">
        <is>
          <t>Redirect Screen</t>
        </is>
      </c>
      <c r="I66" s="20" t="inlineStr">
        <is>
          <t>Registration form "ทดลองใช้งาน empeo ฟรี!" is shown</t>
        </is>
      </c>
      <c r="J66" s="20" t="inlineStr">
        <is>
          <t>As expected</t>
        </is>
      </c>
      <c r="K66" s="20" t="inlineStr"/>
      <c r="L66" s="20" t="inlineStr"/>
      <c r="M66" s="20" t="inlineStr"/>
      <c r="N66" s="20" t="inlineStr"/>
      <c r="O66" s="20" t="inlineStr"/>
    </row>
    <row r="67">
      <c r="A67" s="20" t="inlineStr">
        <is>
          <t>Validation / error handling</t>
        </is>
      </c>
      <c r="B67" s="20" t="inlineStr">
        <is>
          <t>TC-VAL-01</t>
        </is>
      </c>
      <c r="C67" s="20" t="inlineStr">
        <is>
          <t>Error case</t>
        </is>
      </c>
      <c r="D67" s="20" t="inlineStr"/>
      <c r="E67" s="20" t="inlineStr">
        <is>
          <t>01.2</t>
        </is>
      </c>
      <c r="F67" s="20" t="inlineStr">
        <is>
          <t>Submit</t>
        </is>
      </c>
      <c r="G67" s="20" t="inlineStr">
        <is>
          <t>Click "ทดลองใช้ฟรี" with nothing filled</t>
        </is>
      </c>
      <c r="H67" s="20" t="inlineStr">
        <is>
          <t>Message</t>
        </is>
      </c>
      <c r="I67" s="20" t="inlineStr">
        <is>
          <t>"กรุณากรอกประเภทธุรกิจ", "กรุณากรอกผู้ใช้งาน", "กรุณากรอกอีเมล", "กรุณากรอกชื่อ", "กรุณากรอกนามสกุล"; no register request</t>
        </is>
      </c>
      <c r="J67" s="20" t="inlineStr">
        <is>
          <t>As expected</t>
        </is>
      </c>
      <c r="K67" s="20" t="inlineStr">
        <is>
          <t>Pass</t>
        </is>
      </c>
      <c r="L67" s="21">
        <f>HYPERLINK("https://github.com/Yatichapat6510/empeo-registration-tests/blob/main/docs/exploration/02-empty-submit.png","02-empty-submit.png")</f>
        <v/>
      </c>
      <c r="M67" s="20" t="inlineStr">
        <is>
          <t>Newyear (Yatichapat Kanta)</t>
        </is>
      </c>
      <c r="N67" s="20" t="inlineStr">
        <is>
          <t>27/10/2026</t>
        </is>
      </c>
      <c r="O67" s="20" t="inlineStr">
        <is>
          <t>validation.spec.js › TC-VAL-01</t>
        </is>
      </c>
    </row>
    <row r="68">
      <c r="A68" s="9" t="inlineStr">
        <is>
          <t>Validation / error handling</t>
        </is>
      </c>
      <c r="B68" s="9" t="inlineStr">
        <is>
          <t>TC-VAL-02</t>
        </is>
      </c>
      <c r="C68" s="9" t="inlineStr">
        <is>
          <t>Error case</t>
        </is>
      </c>
      <c r="D68" s="9" t="inlineStr">
        <is>
          <t>One required field missing (email / first name / last name / business type / users)</t>
        </is>
      </c>
      <c r="E68" s="9" t="inlineStr">
        <is>
          <t>02.1</t>
        </is>
      </c>
      <c r="F68" s="9" t="inlineStr">
        <is>
          <t>Open page</t>
        </is>
      </c>
      <c r="G68" s="9" t="inlineStr">
        <is>
          <t>Open /Register/empeo</t>
        </is>
      </c>
      <c r="H68" s="9" t="inlineStr">
        <is>
          <t>Redirect Screen</t>
        </is>
      </c>
      <c r="I68" s="9" t="inlineStr">
        <is>
          <t>Registration form "ทดลองใช้งาน empeo ฟรี!" is shown</t>
        </is>
      </c>
      <c r="J68" s="9" t="inlineStr">
        <is>
          <t>As expected</t>
        </is>
      </c>
      <c r="K68" s="9" t="inlineStr"/>
      <c r="L68" s="9" t="inlineStr"/>
      <c r="M68" s="9" t="inlineStr"/>
      <c r="N68" s="9" t="inlineStr"/>
      <c r="O68" s="9" t="inlineStr"/>
    </row>
    <row r="69">
      <c r="A69" s="9" t="inlineStr">
        <is>
          <t>Validation / error handling</t>
        </is>
      </c>
      <c r="B69" s="9" t="inlineStr">
        <is>
          <t>TC-VAL-02</t>
        </is>
      </c>
      <c r="C69" s="9" t="inlineStr">
        <is>
          <t>Error case</t>
        </is>
      </c>
      <c r="D69" s="9" t="inlineStr"/>
      <c r="E69" s="9" t="inlineStr">
        <is>
          <t>02.2</t>
        </is>
      </c>
      <c r="F69" s="9" t="inlineStr">
        <is>
          <t>Fill form</t>
        </is>
      </c>
      <c r="G69" s="9" t="inlineStr">
        <is>
          <t>Fill all fields except one, tick consent</t>
        </is>
      </c>
      <c r="H69" s="9" t="inlineStr">
        <is>
          <t>Fields for filling</t>
        </is>
      </c>
      <c r="I69" s="9" t="inlineStr">
        <is>
          <t>-</t>
        </is>
      </c>
      <c r="J69" s="9" t="inlineStr">
        <is>
          <t>As expected</t>
        </is>
      </c>
      <c r="K69" s="9" t="inlineStr"/>
      <c r="L69" s="9" t="inlineStr"/>
      <c r="M69" s="9" t="inlineStr"/>
      <c r="N69" s="9" t="inlineStr"/>
      <c r="O69" s="9" t="inlineStr"/>
    </row>
    <row r="70">
      <c r="A70" s="9" t="inlineStr">
        <is>
          <t>Validation / error handling</t>
        </is>
      </c>
      <c r="B70" s="9" t="inlineStr">
        <is>
          <t>TC-VAL-02</t>
        </is>
      </c>
      <c r="C70" s="9" t="inlineStr">
        <is>
          <t>Error case</t>
        </is>
      </c>
      <c r="D70" s="9" t="inlineStr"/>
      <c r="E70" s="9" t="inlineStr">
        <is>
          <t>02.3</t>
        </is>
      </c>
      <c r="F70" s="9" t="inlineStr">
        <is>
          <t>Submit</t>
        </is>
      </c>
      <c r="G70" s="9" t="inlineStr">
        <is>
          <t>Click "ทดลองใช้ฟรี"</t>
        </is>
      </c>
      <c r="H70" s="9" t="inlineStr">
        <is>
          <t>Message</t>
        </is>
      </c>
      <c r="I70" s="9" t="inlineStr">
        <is>
          <t>Required message for that field; no register request</t>
        </is>
      </c>
      <c r="J70" s="9" t="inlineStr">
        <is>
          <t>As expected</t>
        </is>
      </c>
      <c r="K70" s="9" t="inlineStr">
        <is>
          <t>Pass</t>
        </is>
      </c>
      <c r="L70" s="19">
        <f>HYPERLINK("https://github.com/Yatichapat6510/empeo-registration-tests/blob/main/docs/report/01-html-report-summary.jpg","HTML report (all tests)")</f>
        <v/>
      </c>
      <c r="M70" s="9" t="inlineStr">
        <is>
          <t>Newyear (Yatichapat Kanta)</t>
        </is>
      </c>
      <c r="N70" s="9" t="inlineStr">
        <is>
          <t>27/10/2026</t>
        </is>
      </c>
      <c r="O70" s="9" t="inlineStr">
        <is>
          <t>validation.spec.js › TC-VAL-02 (x5)</t>
        </is>
      </c>
    </row>
    <row r="71">
      <c r="A71" s="20" t="inlineStr">
        <is>
          <t>Validation / error handling</t>
        </is>
      </c>
      <c r="B71" s="20" t="inlineStr">
        <is>
          <t>TC-VAL-03</t>
        </is>
      </c>
      <c r="C71" s="20" t="inlineStr">
        <is>
          <t>Error case</t>
        </is>
      </c>
      <c r="D71" s="20" t="inlineStr">
        <is>
          <t>Invalid e-mail format (not-an-email, qa@, @qa-test.co.th, qa@qa-test)</t>
        </is>
      </c>
      <c r="E71" s="20" t="inlineStr">
        <is>
          <t>03.1</t>
        </is>
      </c>
      <c r="F71" s="20" t="inlineStr">
        <is>
          <t>Open page</t>
        </is>
      </c>
      <c r="G71" s="20" t="inlineStr">
        <is>
          <t>Open /Register/empeo</t>
        </is>
      </c>
      <c r="H71" s="20" t="inlineStr">
        <is>
          <t>Redirect Screen</t>
        </is>
      </c>
      <c r="I71" s="20" t="inlineStr">
        <is>
          <t>Registration form "ทดลองใช้งาน empeo ฟรี!" is shown</t>
        </is>
      </c>
      <c r="J71" s="20" t="inlineStr">
        <is>
          <t>As expected</t>
        </is>
      </c>
      <c r="K71" s="20" t="inlineStr"/>
      <c r="L71" s="20" t="inlineStr"/>
      <c r="M71" s="20" t="inlineStr"/>
      <c r="N71" s="20" t="inlineStr"/>
      <c r="O71" s="20" t="inlineStr"/>
    </row>
    <row r="72">
      <c r="A72" s="20" t="inlineStr">
        <is>
          <t>Validation / error handling</t>
        </is>
      </c>
      <c r="B72" s="20" t="inlineStr">
        <is>
          <t>TC-VAL-03</t>
        </is>
      </c>
      <c r="C72" s="20" t="inlineStr">
        <is>
          <t>Error case</t>
        </is>
      </c>
      <c r="D72" s="20" t="inlineStr"/>
      <c r="E72" s="20" t="inlineStr">
        <is>
          <t>03.2</t>
        </is>
      </c>
      <c r="F72" s="20" t="inlineStr">
        <is>
          <t>Fill form</t>
        </is>
      </c>
      <c r="G72" s="20" t="inlineStr">
        <is>
          <t>Valid data with the invalid e-mail</t>
        </is>
      </c>
      <c r="H72" s="20" t="inlineStr">
        <is>
          <t>Fields for filling</t>
        </is>
      </c>
      <c r="I72" s="20" t="inlineStr">
        <is>
          <t>-</t>
        </is>
      </c>
      <c r="J72" s="20" t="inlineStr">
        <is>
          <t>As expected</t>
        </is>
      </c>
      <c r="K72" s="20" t="inlineStr"/>
      <c r="L72" s="20" t="inlineStr"/>
      <c r="M72" s="20" t="inlineStr"/>
      <c r="N72" s="20" t="inlineStr"/>
      <c r="O72" s="20" t="inlineStr"/>
    </row>
    <row r="73">
      <c r="A73" s="20" t="inlineStr">
        <is>
          <t>Validation / error handling</t>
        </is>
      </c>
      <c r="B73" s="20" t="inlineStr">
        <is>
          <t>TC-VAL-03</t>
        </is>
      </c>
      <c r="C73" s="20" t="inlineStr">
        <is>
          <t>Error case</t>
        </is>
      </c>
      <c r="D73" s="20" t="inlineStr"/>
      <c r="E73" s="20" t="inlineStr">
        <is>
          <t>03.3</t>
        </is>
      </c>
      <c r="F73" s="20" t="inlineStr">
        <is>
          <t>Submit</t>
        </is>
      </c>
      <c r="G73" s="20" t="inlineStr">
        <is>
          <t>Click "ทดลองใช้ฟรี"</t>
        </is>
      </c>
      <c r="H73" s="20" t="inlineStr">
        <is>
          <t>Message</t>
        </is>
      </c>
      <c r="I73" s="20" t="inlineStr">
        <is>
          <t>"กรุณาใส่อีเมลที่ถูกต้อง"</t>
        </is>
      </c>
      <c r="J73" s="20" t="inlineStr">
        <is>
          <t>As expected</t>
        </is>
      </c>
      <c r="K73" s="20" t="inlineStr">
        <is>
          <t>Pass</t>
        </is>
      </c>
      <c r="L73" s="21">
        <f>HYPERLINK("https://github.com/Yatichapat6510/empeo-registration-tests/blob/main/docs/exploration/20-email-invalid.png","20-email-invalid.png")</f>
        <v/>
      </c>
      <c r="M73" s="20" t="inlineStr">
        <is>
          <t>Newyear (Yatichapat Kanta)</t>
        </is>
      </c>
      <c r="N73" s="20" t="inlineStr">
        <is>
          <t>27/10/2026</t>
        </is>
      </c>
      <c r="O73" s="20" t="inlineStr">
        <is>
          <t>validation.spec.js › TC-VAL-03 (x4)</t>
        </is>
      </c>
    </row>
    <row r="74">
      <c r="A74" s="9" t="inlineStr">
        <is>
          <t>Validation / error handling</t>
        </is>
      </c>
      <c r="B74" s="9" t="inlineStr">
        <is>
          <t>TC-VAL-04</t>
        </is>
      </c>
      <c r="C74" s="9" t="inlineStr">
        <is>
          <t>Error case</t>
        </is>
      </c>
      <c r="D74" s="9" t="inlineStr">
        <is>
          <t>E-mail domain already registered (example.com)</t>
        </is>
      </c>
      <c r="E74" s="9" t="inlineStr">
        <is>
          <t>04.1</t>
        </is>
      </c>
      <c r="F74" s="9" t="inlineStr">
        <is>
          <t>Open page</t>
        </is>
      </c>
      <c r="G74" s="9" t="inlineStr">
        <is>
          <t>Open /Register/empeo</t>
        </is>
      </c>
      <c r="H74" s="9" t="inlineStr">
        <is>
          <t>Redirect Screen</t>
        </is>
      </c>
      <c r="I74" s="9" t="inlineStr">
        <is>
          <t>Registration form "ทดลองใช้งาน empeo ฟรี!" is shown</t>
        </is>
      </c>
      <c r="J74" s="9" t="inlineStr">
        <is>
          <t>As expected</t>
        </is>
      </c>
      <c r="K74" s="9" t="inlineStr"/>
      <c r="L74" s="9" t="inlineStr"/>
      <c r="M74" s="9" t="inlineStr"/>
      <c r="N74" s="9" t="inlineStr"/>
      <c r="O74" s="9" t="inlineStr"/>
    </row>
    <row r="75">
      <c r="A75" s="9" t="inlineStr">
        <is>
          <t>Validation / error handling</t>
        </is>
      </c>
      <c r="B75" s="9" t="inlineStr">
        <is>
          <t>TC-VAL-04</t>
        </is>
      </c>
      <c r="C75" s="9" t="inlineStr">
        <is>
          <t>Error case</t>
        </is>
      </c>
      <c r="D75" s="9" t="inlineStr"/>
      <c r="E75" s="9" t="inlineStr">
        <is>
          <t>04.2</t>
        </is>
      </c>
      <c r="F75" s="9" t="inlineStr">
        <is>
          <t>Fill form</t>
        </is>
      </c>
      <c r="G75" s="9" t="inlineStr">
        <is>
          <t>Valid data, e-mail qa.&lt;n&gt;@example.com</t>
        </is>
      </c>
      <c r="H75" s="9" t="inlineStr">
        <is>
          <t>Fields for filling</t>
        </is>
      </c>
      <c r="I75" s="9" t="inlineStr">
        <is>
          <t>-</t>
        </is>
      </c>
      <c r="J75" s="9" t="inlineStr">
        <is>
          <t>As expected</t>
        </is>
      </c>
      <c r="K75" s="9" t="inlineStr"/>
      <c r="L75" s="9" t="inlineStr"/>
      <c r="M75" s="9" t="inlineStr"/>
      <c r="N75" s="9" t="inlineStr"/>
      <c r="O75" s="9" t="inlineStr"/>
    </row>
    <row r="76">
      <c r="A76" s="9" t="inlineStr">
        <is>
          <t>Validation / error handling</t>
        </is>
      </c>
      <c r="B76" s="9" t="inlineStr">
        <is>
          <t>TC-VAL-04</t>
        </is>
      </c>
      <c r="C76" s="9" t="inlineStr">
        <is>
          <t>Error case</t>
        </is>
      </c>
      <c r="D76" s="9" t="inlineStr"/>
      <c r="E76" s="9" t="inlineStr">
        <is>
          <t>04.3</t>
        </is>
      </c>
      <c r="F76" s="9" t="inlineStr">
        <is>
          <t>Submit</t>
        </is>
      </c>
      <c r="G76" s="9" t="inlineStr">
        <is>
          <t>Click "ทดลองใช้ฟรี"</t>
        </is>
      </c>
      <c r="H76" s="9" t="inlineStr">
        <is>
          <t>Message</t>
        </is>
      </c>
      <c r="I76" s="9" t="inlineStr">
        <is>
          <t>"โดเมนนี้มีบัญชีใช้งานแล้ว"; no register request</t>
        </is>
      </c>
      <c r="J76" s="9" t="inlineStr">
        <is>
          <t>As expected</t>
        </is>
      </c>
      <c r="K76" s="9" t="inlineStr">
        <is>
          <t>Pass</t>
        </is>
      </c>
      <c r="L76" s="19">
        <f>HYPERLINK("https://github.com/Yatichapat6510/empeo-registration-tests/blob/main/docs/exploration/21-email-dup-domain.png","21-email-dup-domain.png")</f>
        <v/>
      </c>
      <c r="M76" s="9" t="inlineStr">
        <is>
          <t>Newyear (Yatichapat Kanta)</t>
        </is>
      </c>
      <c r="N76" s="9" t="inlineStr">
        <is>
          <t>27/10/2026</t>
        </is>
      </c>
      <c r="O76" s="9" t="inlineStr">
        <is>
          <t>validation.spec.js › TC-VAL-04</t>
        </is>
      </c>
    </row>
    <row r="77">
      <c r="A77" s="20" t="inlineStr">
        <is>
          <t>Validation / error handling</t>
        </is>
      </c>
      <c r="B77" s="20" t="inlineStr">
        <is>
          <t>TC-VAL-05</t>
        </is>
      </c>
      <c r="C77" s="20" t="inlineStr">
        <is>
          <t>Error case</t>
        </is>
      </c>
      <c r="D77" s="20" t="inlineStr">
        <is>
          <t>Consent not ticked</t>
        </is>
      </c>
      <c r="E77" s="20" t="inlineStr">
        <is>
          <t>05.1</t>
        </is>
      </c>
      <c r="F77" s="20" t="inlineStr">
        <is>
          <t>Open page</t>
        </is>
      </c>
      <c r="G77" s="20" t="inlineStr">
        <is>
          <t>Open /Register/empeo</t>
        </is>
      </c>
      <c r="H77" s="20" t="inlineStr">
        <is>
          <t>Redirect Screen</t>
        </is>
      </c>
      <c r="I77" s="20" t="inlineStr">
        <is>
          <t>Registration form "ทดลองใช้งาน empeo ฟรี!" is shown</t>
        </is>
      </c>
      <c r="J77" s="20" t="inlineStr">
        <is>
          <t>As expected</t>
        </is>
      </c>
      <c r="K77" s="20" t="inlineStr"/>
      <c r="L77" s="20" t="inlineStr"/>
      <c r="M77" s="20" t="inlineStr"/>
      <c r="N77" s="20" t="inlineStr"/>
      <c r="O77" s="20" t="inlineStr"/>
    </row>
    <row r="78">
      <c r="A78" s="20" t="inlineStr">
        <is>
          <t>Validation / error handling</t>
        </is>
      </c>
      <c r="B78" s="20" t="inlineStr">
        <is>
          <t>TC-VAL-05</t>
        </is>
      </c>
      <c r="C78" s="20" t="inlineStr">
        <is>
          <t>Error case</t>
        </is>
      </c>
      <c r="D78" s="20" t="inlineStr"/>
      <c r="E78" s="20" t="inlineStr">
        <is>
          <t>05.2</t>
        </is>
      </c>
      <c r="F78" s="20" t="inlineStr">
        <is>
          <t>Fill form</t>
        </is>
      </c>
      <c r="G78" s="20" t="inlineStr">
        <is>
          <t>Valid data, consent NOT ticked</t>
        </is>
      </c>
      <c r="H78" s="20" t="inlineStr">
        <is>
          <t>Fields for filling</t>
        </is>
      </c>
      <c r="I78" s="20" t="inlineStr">
        <is>
          <t>-</t>
        </is>
      </c>
      <c r="J78" s="20" t="inlineStr">
        <is>
          <t>As expected</t>
        </is>
      </c>
      <c r="K78" s="20" t="inlineStr"/>
      <c r="L78" s="20" t="inlineStr"/>
      <c r="M78" s="20" t="inlineStr"/>
      <c r="N78" s="20" t="inlineStr"/>
      <c r="O78" s="20" t="inlineStr"/>
    </row>
    <row r="79">
      <c r="A79" s="20" t="inlineStr">
        <is>
          <t>Validation / error handling</t>
        </is>
      </c>
      <c r="B79" s="20" t="inlineStr">
        <is>
          <t>TC-VAL-05</t>
        </is>
      </c>
      <c r="C79" s="20" t="inlineStr">
        <is>
          <t>Error case</t>
        </is>
      </c>
      <c r="D79" s="20" t="inlineStr"/>
      <c r="E79" s="20" t="inlineStr">
        <is>
          <t>05.3</t>
        </is>
      </c>
      <c r="F79" s="20" t="inlineStr">
        <is>
          <t>Submit</t>
        </is>
      </c>
      <c r="G79" s="20" t="inlineStr">
        <is>
          <t>Click "ทดลองใช้ฟรี"</t>
        </is>
      </c>
      <c r="H79" s="20" t="inlineStr">
        <is>
          <t>Redirect Screen / API</t>
        </is>
      </c>
      <c r="I79" s="20" t="inlineStr">
        <is>
          <t>OTP dialog not opened; no register request (no message shown – BUG-01)</t>
        </is>
      </c>
      <c r="J79" s="20" t="inlineStr">
        <is>
          <t>As expected</t>
        </is>
      </c>
      <c r="K79" s="20" t="inlineStr">
        <is>
          <t>Pass</t>
        </is>
      </c>
      <c r="L79" s="21">
        <f>HYPERLINK("https://github.com/Yatichapat6510/empeo-registration-tests/blob/main/docs/exploration/12-no-consent.png","12-no-consent.png")</f>
        <v/>
      </c>
      <c r="M79" s="20" t="inlineStr">
        <is>
          <t>Newyear (Yatichapat Kanta)</t>
        </is>
      </c>
      <c r="N79" s="20" t="inlineStr">
        <is>
          <t>27/10/2026</t>
        </is>
      </c>
      <c r="O79" s="20" t="inlineStr">
        <is>
          <t>validation.spec.js › TC-VAL-05</t>
        </is>
      </c>
    </row>
    <row r="80">
      <c r="A80" s="9" t="inlineStr">
        <is>
          <t>Edge cases – phone</t>
        </is>
      </c>
      <c r="B80" s="9" t="inlineStr">
        <is>
          <t>TC-EDGE-01</t>
        </is>
      </c>
      <c r="C80" s="9" t="inlineStr">
        <is>
          <t>Edge case</t>
        </is>
      </c>
      <c r="D80" s="9" t="inlineStr">
        <is>
          <t>Invalid phone (12345, 096769070, 09676907089)</t>
        </is>
      </c>
      <c r="E80" s="9" t="inlineStr">
        <is>
          <t>01.1</t>
        </is>
      </c>
      <c r="F80" s="9" t="inlineStr">
        <is>
          <t>Open page</t>
        </is>
      </c>
      <c r="G80" s="9" t="inlineStr">
        <is>
          <t>Open /Register/empeo</t>
        </is>
      </c>
      <c r="H80" s="9" t="inlineStr">
        <is>
          <t>Redirect Screen</t>
        </is>
      </c>
      <c r="I80" s="9" t="inlineStr">
        <is>
          <t>Registration form "ทดลองใช้งาน empeo ฟรี!" is shown</t>
        </is>
      </c>
      <c r="J80" s="9" t="inlineStr">
        <is>
          <t>As expected</t>
        </is>
      </c>
      <c r="K80" s="9" t="inlineStr"/>
      <c r="L80" s="9" t="inlineStr"/>
      <c r="M80" s="9" t="inlineStr"/>
      <c r="N80" s="9" t="inlineStr"/>
      <c r="O80" s="9" t="inlineStr"/>
    </row>
    <row r="81">
      <c r="A81" s="9" t="inlineStr">
        <is>
          <t>Edge cases – phone</t>
        </is>
      </c>
      <c r="B81" s="9" t="inlineStr">
        <is>
          <t>TC-EDGE-01</t>
        </is>
      </c>
      <c r="C81" s="9" t="inlineStr">
        <is>
          <t>Edge case</t>
        </is>
      </c>
      <c r="D81" s="9" t="inlineStr"/>
      <c r="E81" s="9" t="inlineStr">
        <is>
          <t>01.2</t>
        </is>
      </c>
      <c r="F81" s="9" t="inlineStr">
        <is>
          <t>Fill form</t>
        </is>
      </c>
      <c r="G81" s="9" t="inlineStr">
        <is>
          <t>Valid data with the invalid phone</t>
        </is>
      </c>
      <c r="H81" s="9" t="inlineStr">
        <is>
          <t>Fields for filling</t>
        </is>
      </c>
      <c r="I81" s="9" t="inlineStr">
        <is>
          <t>-</t>
        </is>
      </c>
      <c r="J81" s="9" t="inlineStr">
        <is>
          <t>As expected</t>
        </is>
      </c>
      <c r="K81" s="9" t="inlineStr"/>
      <c r="L81" s="9" t="inlineStr"/>
      <c r="M81" s="9" t="inlineStr"/>
      <c r="N81" s="9" t="inlineStr"/>
      <c r="O81" s="9" t="inlineStr"/>
    </row>
    <row r="82">
      <c r="A82" s="9" t="inlineStr">
        <is>
          <t>Edge cases – phone</t>
        </is>
      </c>
      <c r="B82" s="9" t="inlineStr">
        <is>
          <t>TC-EDGE-01</t>
        </is>
      </c>
      <c r="C82" s="9" t="inlineStr">
        <is>
          <t>Edge case</t>
        </is>
      </c>
      <c r="D82" s="9" t="inlineStr"/>
      <c r="E82" s="9" t="inlineStr">
        <is>
          <t>01.3</t>
        </is>
      </c>
      <c r="F82" s="9" t="inlineStr">
        <is>
          <t>Submit</t>
        </is>
      </c>
      <c r="G82" s="9" t="inlineStr">
        <is>
          <t>Click "ทดลองใช้ฟรี"</t>
        </is>
      </c>
      <c r="H82" s="9" t="inlineStr">
        <is>
          <t>Message</t>
        </is>
      </c>
      <c r="I82" s="9" t="inlineStr">
        <is>
          <t>"รูปแบบเบอร์โทรศัพท์ไม่ถูกต้อง"; no OTP dialog</t>
        </is>
      </c>
      <c r="J82" s="9" t="inlineStr">
        <is>
          <t>As expected</t>
        </is>
      </c>
      <c r="K82" s="9" t="inlineStr">
        <is>
          <t>Pass</t>
        </is>
      </c>
      <c r="L82" s="19">
        <f>HYPERLINK("https://github.com/Yatichapat6510/empeo-registration-tests/blob/main/docs/exploration/16-phone-invalid.png","16-phone-invalid.png")</f>
        <v/>
      </c>
      <c r="M82" s="9" t="inlineStr">
        <is>
          <t>Newyear (Yatichapat Kanta)</t>
        </is>
      </c>
      <c r="N82" s="9" t="inlineStr">
        <is>
          <t>27/10/2026</t>
        </is>
      </c>
      <c r="O82" s="9" t="inlineStr">
        <is>
          <t>phone.edge.spec.js › TC-EDGE-01 (x3)</t>
        </is>
      </c>
    </row>
    <row r="83">
      <c r="A83" s="20" t="inlineStr">
        <is>
          <t>Edge cases – phone</t>
        </is>
      </c>
      <c r="B83" s="20" t="inlineStr">
        <is>
          <t>TC-EDGE-02</t>
        </is>
      </c>
      <c r="C83" s="20" t="inlineStr">
        <is>
          <t>Edge case</t>
        </is>
      </c>
      <c r="D83" s="20" t="inlineStr">
        <is>
          <t>Letters in phone field</t>
        </is>
      </c>
      <c r="E83" s="20" t="inlineStr">
        <is>
          <t>02.1</t>
        </is>
      </c>
      <c r="F83" s="20" t="inlineStr">
        <is>
          <t>Open page</t>
        </is>
      </c>
      <c r="G83" s="20" t="inlineStr">
        <is>
          <t>Open /Register/empeo</t>
        </is>
      </c>
      <c r="H83" s="20" t="inlineStr">
        <is>
          <t>Redirect Screen</t>
        </is>
      </c>
      <c r="I83" s="20" t="inlineStr">
        <is>
          <t>Registration form "ทดลองใช้งาน empeo ฟรี!" is shown</t>
        </is>
      </c>
      <c r="J83" s="20" t="inlineStr">
        <is>
          <t>As expected</t>
        </is>
      </c>
      <c r="K83" s="20" t="inlineStr"/>
      <c r="L83" s="20" t="inlineStr"/>
      <c r="M83" s="20" t="inlineStr"/>
      <c r="N83" s="20" t="inlineStr"/>
      <c r="O83" s="20" t="inlineStr"/>
    </row>
    <row r="84">
      <c r="A84" s="20" t="inlineStr">
        <is>
          <t>Edge cases – phone</t>
        </is>
      </c>
      <c r="B84" s="20" t="inlineStr">
        <is>
          <t>TC-EDGE-02</t>
        </is>
      </c>
      <c r="C84" s="20" t="inlineStr">
        <is>
          <t>Edge case</t>
        </is>
      </c>
      <c r="D84" s="20" t="inlineStr"/>
      <c r="E84" s="20" t="inlineStr">
        <is>
          <t>02.2</t>
        </is>
      </c>
      <c r="F84" s="20" t="inlineStr">
        <is>
          <t>Phone</t>
        </is>
      </c>
      <c r="G84" s="20" t="inlineStr">
        <is>
          <t>Type abcXYZ</t>
        </is>
      </c>
      <c r="H84" s="20" t="inlineStr">
        <is>
          <t>Fields for filling</t>
        </is>
      </c>
      <c r="I84" s="20" t="inlineStr">
        <is>
          <t>Field stays empty</t>
        </is>
      </c>
      <c r="J84" s="20" t="inlineStr">
        <is>
          <t>As expected</t>
        </is>
      </c>
      <c r="K84" s="20" t="inlineStr">
        <is>
          <t>Pass</t>
        </is>
      </c>
      <c r="L84" s="21">
        <f>HYPERLINK("https://github.com/Yatichapat6510/empeo-registration-tests/blob/main/docs/report/01-html-report-summary.jpg","HTML report (all tests)")</f>
        <v/>
      </c>
      <c r="M84" s="20" t="inlineStr">
        <is>
          <t>Newyear (Yatichapat Kanta)</t>
        </is>
      </c>
      <c r="N84" s="20" t="inlineStr">
        <is>
          <t>27/10/2026</t>
        </is>
      </c>
      <c r="O84" s="20" t="inlineStr">
        <is>
          <t>phone.edge.spec.js › TC-EDGE-02</t>
        </is>
      </c>
    </row>
    <row r="85">
      <c r="A85" s="9" t="inlineStr">
        <is>
          <t>Edge cases – phone</t>
        </is>
      </c>
      <c r="B85" s="9" t="inlineStr">
        <is>
          <t>TC-EDGE-03</t>
        </is>
      </c>
      <c r="C85" s="9" t="inlineStr">
        <is>
          <t>Edge case</t>
        </is>
      </c>
      <c r="D85" s="9" t="inlineStr">
        <is>
          <t>Phone max length</t>
        </is>
      </c>
      <c r="E85" s="9" t="inlineStr">
        <is>
          <t>03.1</t>
        </is>
      </c>
      <c r="F85" s="9" t="inlineStr">
        <is>
          <t>Open page</t>
        </is>
      </c>
      <c r="G85" s="9" t="inlineStr">
        <is>
          <t>Open /Register/empeo</t>
        </is>
      </c>
      <c r="H85" s="9" t="inlineStr">
        <is>
          <t>Redirect Screen</t>
        </is>
      </c>
      <c r="I85" s="9" t="inlineStr">
        <is>
          <t>Registration form "ทดลองใช้งาน empeo ฟรี!" is shown</t>
        </is>
      </c>
      <c r="J85" s="9" t="inlineStr">
        <is>
          <t>As expected</t>
        </is>
      </c>
      <c r="K85" s="9" t="inlineStr"/>
      <c r="L85" s="9" t="inlineStr"/>
      <c r="M85" s="9" t="inlineStr"/>
      <c r="N85" s="9" t="inlineStr"/>
      <c r="O85" s="9" t="inlineStr"/>
    </row>
    <row r="86">
      <c r="A86" s="9" t="inlineStr">
        <is>
          <t>Edge cases – phone</t>
        </is>
      </c>
      <c r="B86" s="9" t="inlineStr">
        <is>
          <t>TC-EDGE-03</t>
        </is>
      </c>
      <c r="C86" s="9" t="inlineStr">
        <is>
          <t>Edge case</t>
        </is>
      </c>
      <c r="D86" s="9" t="inlineStr"/>
      <c r="E86" s="9" t="inlineStr">
        <is>
          <t>03.2</t>
        </is>
      </c>
      <c r="F86" s="9" t="inlineStr">
        <is>
          <t>Phone</t>
        </is>
      </c>
      <c r="G86" s="9" t="inlineStr">
        <is>
          <t>Type 20 digits</t>
        </is>
      </c>
      <c r="H86" s="9" t="inlineStr">
        <is>
          <t>Fields for filling</t>
        </is>
      </c>
      <c r="I86" s="9" t="inlineStr">
        <is>
          <t>Only 15 characters kept</t>
        </is>
      </c>
      <c r="J86" s="9" t="inlineStr">
        <is>
          <t>As expected</t>
        </is>
      </c>
      <c r="K86" s="9" t="inlineStr">
        <is>
          <t>Pass</t>
        </is>
      </c>
      <c r="L86" s="19">
        <f>HYPERLINK("https://github.com/Yatichapat6510/empeo-registration-tests/blob/main/docs/report/01-html-report-summary.jpg","HTML report (all tests)")</f>
        <v/>
      </c>
      <c r="M86" s="9" t="inlineStr">
        <is>
          <t>Newyear (Yatichapat Kanta)</t>
        </is>
      </c>
      <c r="N86" s="9" t="inlineStr">
        <is>
          <t>27/10/2026</t>
        </is>
      </c>
      <c r="O86" s="9" t="inlineStr">
        <is>
          <t>phone.edge.spec.js › TC-EDGE-03</t>
        </is>
      </c>
    </row>
    <row r="87">
      <c r="A87" s="20" t="inlineStr">
        <is>
          <t>Edge cases – phone</t>
        </is>
      </c>
      <c r="B87" s="20" t="inlineStr">
        <is>
          <t>TC-EDGE-04</t>
        </is>
      </c>
      <c r="C87" s="20" t="inlineStr">
        <is>
          <t>Error case</t>
        </is>
      </c>
      <c r="D87" s="20" t="inlineStr">
        <is>
          <t>Phone empty</t>
        </is>
      </c>
      <c r="E87" s="20" t="inlineStr">
        <is>
          <t>04.1</t>
        </is>
      </c>
      <c r="F87" s="20" t="inlineStr">
        <is>
          <t>Open page</t>
        </is>
      </c>
      <c r="G87" s="20" t="inlineStr">
        <is>
          <t>Open /Register/empeo</t>
        </is>
      </c>
      <c r="H87" s="20" t="inlineStr">
        <is>
          <t>Redirect Screen</t>
        </is>
      </c>
      <c r="I87" s="20" t="inlineStr">
        <is>
          <t>Registration form "ทดลองใช้งาน empeo ฟรี!" is shown</t>
        </is>
      </c>
      <c r="J87" s="20" t="inlineStr">
        <is>
          <t>As expected</t>
        </is>
      </c>
      <c r="K87" s="20" t="inlineStr"/>
      <c r="L87" s="20" t="inlineStr"/>
      <c r="M87" s="20" t="inlineStr"/>
      <c r="N87" s="20" t="inlineStr"/>
      <c r="O87" s="20" t="inlineStr"/>
    </row>
    <row r="88">
      <c r="A88" s="20" t="inlineStr">
        <is>
          <t>Edge cases – phone</t>
        </is>
      </c>
      <c r="B88" s="20" t="inlineStr">
        <is>
          <t>TC-EDGE-04</t>
        </is>
      </c>
      <c r="C88" s="20" t="inlineStr">
        <is>
          <t>Error case</t>
        </is>
      </c>
      <c r="D88" s="20" t="inlineStr"/>
      <c r="E88" s="20" t="inlineStr">
        <is>
          <t>04.2</t>
        </is>
      </c>
      <c r="F88" s="20" t="inlineStr">
        <is>
          <t>Fill form</t>
        </is>
      </c>
      <c r="G88" s="20" t="inlineStr">
        <is>
          <t>Valid data, phone empty</t>
        </is>
      </c>
      <c r="H88" s="20" t="inlineStr">
        <is>
          <t>Fields for filling</t>
        </is>
      </c>
      <c r="I88" s="20" t="inlineStr">
        <is>
          <t>-</t>
        </is>
      </c>
      <c r="J88" s="20" t="inlineStr">
        <is>
          <t>As expected</t>
        </is>
      </c>
      <c r="K88" s="20" t="inlineStr"/>
      <c r="L88" s="20" t="inlineStr"/>
      <c r="M88" s="20" t="inlineStr"/>
      <c r="N88" s="20" t="inlineStr"/>
      <c r="O88" s="20" t="inlineStr"/>
    </row>
    <row r="89">
      <c r="A89" s="20" t="inlineStr">
        <is>
          <t>Edge cases – phone</t>
        </is>
      </c>
      <c r="B89" s="20" t="inlineStr">
        <is>
          <t>TC-EDGE-04</t>
        </is>
      </c>
      <c r="C89" s="20" t="inlineStr">
        <is>
          <t>Error case</t>
        </is>
      </c>
      <c r="D89" s="20" t="inlineStr"/>
      <c r="E89" s="20" t="inlineStr">
        <is>
          <t>04.3</t>
        </is>
      </c>
      <c r="F89" s="20" t="inlineStr">
        <is>
          <t>Submit</t>
        </is>
      </c>
      <c r="G89" s="20" t="inlineStr">
        <is>
          <t>Click "ทดลองใช้ฟรี"</t>
        </is>
      </c>
      <c r="H89" s="20" t="inlineStr">
        <is>
          <t>Redirect Screen</t>
        </is>
      </c>
      <c r="I89" s="20" t="inlineStr">
        <is>
          <t>OTP dialog not opened</t>
        </is>
      </c>
      <c r="J89" s="20" t="inlineStr">
        <is>
          <t>As expected</t>
        </is>
      </c>
      <c r="K89" s="20" t="inlineStr">
        <is>
          <t>Pass</t>
        </is>
      </c>
      <c r="L89" s="21">
        <f>HYPERLINK("https://github.com/Yatichapat6510/empeo-registration-tests/blob/main/docs/report/01-html-report-summary.jpg","HTML report (all tests)")</f>
        <v/>
      </c>
      <c r="M89" s="20" t="inlineStr">
        <is>
          <t>Newyear (Yatichapat Kanta)</t>
        </is>
      </c>
      <c r="N89" s="20" t="inlineStr">
        <is>
          <t>27/10/2026</t>
        </is>
      </c>
      <c r="O89" s="20" t="inlineStr">
        <is>
          <t>phone.edge.spec.js › TC-EDGE-04</t>
        </is>
      </c>
    </row>
  </sheetData>
  <autoFilter ref="A1:O89"/>
  <conditionalFormatting sqref="K2:K89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K2:K89" showDropDown="0" showInputMessage="0" showErrorMessage="0" allowBlank="1" type="list">
      <formula1>"Pass,Fail,Blocked,N/A,Not Executed"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9" customWidth="1" min="7" max="7"/>
    <col width="9" customWidth="1" min="8" max="8"/>
    <col width="14" customWidth="1" min="9" max="9"/>
    <col width="44" customWidth="1" min="10" max="10"/>
    <col width="36" customWidth="1" min="11" max="11"/>
    <col width="30" customWidth="1" min="12" max="12"/>
    <col width="30" customWidth="1" min="13" max="13"/>
    <col width="22" customWidth="1" min="14" max="14"/>
    <col width="26" customWidth="1" min="15" max="15"/>
    <col width="12" customWidth="1" min="16" max="16"/>
    <col width="14" customWidth="1" min="17" max="17"/>
    <col width="16" customWidth="1" min="18" max="18"/>
  </cols>
  <sheetData>
    <row r="1">
      <c r="A1" s="13" t="inlineStr">
        <is>
          <t>Incident No.</t>
        </is>
      </c>
      <c r="B1" s="13" t="inlineStr">
        <is>
          <t>Occurred Date</t>
        </is>
      </c>
      <c r="C1" s="13" t="inlineStr">
        <is>
          <t>Screen</t>
        </is>
      </c>
      <c r="D1" s="13" t="inlineStr">
        <is>
          <t>Related Test Case</t>
        </is>
      </c>
      <c r="E1" s="13" t="inlineStr">
        <is>
          <t>Raised by</t>
        </is>
      </c>
      <c r="F1" s="13" t="inlineStr">
        <is>
          <t>Checked by</t>
        </is>
      </c>
      <c r="G1" s="13" t="inlineStr">
        <is>
          <t>Priority</t>
        </is>
      </c>
      <c r="H1" s="13" t="inlineStr">
        <is>
          <t>Severity</t>
        </is>
      </c>
      <c r="I1" s="13" t="inlineStr">
        <is>
          <t>Status</t>
        </is>
      </c>
      <c r="J1" s="13" t="inlineStr">
        <is>
          <t>Detail (Description)</t>
        </is>
      </c>
      <c r="K1" s="13" t="inlineStr">
        <is>
          <t>Steps to Reproduce</t>
        </is>
      </c>
      <c r="L1" s="13" t="inlineStr">
        <is>
          <t>Expected Result</t>
        </is>
      </c>
      <c r="M1" s="13" t="inlineStr">
        <is>
          <t>Actual Result</t>
        </is>
      </c>
      <c r="N1" s="13" t="inlineStr">
        <is>
          <t>Picture / Evidence</t>
        </is>
      </c>
      <c r="O1" s="13" t="inlineStr">
        <is>
          <t>Environment</t>
        </is>
      </c>
      <c r="P1" s="13" t="inlineStr">
        <is>
          <t>Major Class</t>
        </is>
      </c>
      <c r="Q1" s="13" t="inlineStr">
        <is>
          <t>Minor Class</t>
        </is>
      </c>
      <c r="R1" s="13" t="inlineStr">
        <is>
          <t>Remark</t>
        </is>
      </c>
    </row>
    <row r="2">
      <c r="A2" s="9" t="inlineStr">
        <is>
          <t>BUG-01</t>
        </is>
      </c>
      <c r="B2" s="9" t="inlineStr">
        <is>
          <t>27/10/2026</t>
        </is>
      </c>
      <c r="C2" s="9" t="inlineStr">
        <is>
          <t>Registration form</t>
        </is>
      </c>
      <c r="D2" s="9" t="inlineStr">
        <is>
          <t>TC-VAL-05</t>
        </is>
      </c>
      <c r="E2" s="9" t="inlineStr">
        <is>
          <t>Newyear (Yatichapat Kanta)</t>
        </is>
      </c>
      <c r="F2" s="9" t="inlineStr"/>
      <c r="G2" s="9" t="inlineStr">
        <is>
          <t>Medium</t>
        </is>
      </c>
      <c r="H2" s="9" t="inlineStr">
        <is>
          <t>Minor</t>
        </is>
      </c>
      <c r="I2" s="9" t="inlineStr">
        <is>
          <t>Open</t>
        </is>
      </c>
      <c r="J2" s="9" t="inlineStr">
        <is>
          <t>Submitting without ticking the consent box does nothing and shows no message, so the user does not know why.</t>
        </is>
      </c>
      <c r="K2" s="9" t="inlineStr">
        <is>
          <t>1. Open /Register/empeo
2. Fill all fields with valid data
3. Leave consent unticked
4. Click "ทดลองใช้ฟรี"</t>
        </is>
      </c>
      <c r="L2" s="9" t="inlineStr">
        <is>
          <t>A message asks the user to accept the policy/terms (or the button is disabled)</t>
        </is>
      </c>
      <c r="M2" s="9" t="inlineStr">
        <is>
          <t>Nothing happens; no message</t>
        </is>
      </c>
      <c r="N2" s="19">
        <f>HYPERLINK("https://github.com/Yatichapat6510/empeo-registration-tests/blob/main/docs/exploration/12-no-consent.png","12-no-consent.png")</f>
        <v/>
      </c>
      <c r="O2" s="9" t="inlineStr">
        <is>
          <t>UAT · Chromium · TH</t>
        </is>
      </c>
      <c r="P2" s="9" t="inlineStr">
        <is>
          <t>UX</t>
        </is>
      </c>
      <c r="Q2" s="9" t="inlineStr">
        <is>
          <t>Validation message</t>
        </is>
      </c>
      <c r="R2" s="9" t="inlineStr"/>
    </row>
    <row r="3">
      <c r="A3" s="9" t="inlineStr">
        <is>
          <t>BUG-02</t>
        </is>
      </c>
      <c r="B3" s="9" t="inlineStr">
        <is>
          <t>27/10/2026</t>
        </is>
      </c>
      <c r="C3" s="9" t="inlineStr">
        <is>
          <t>Set password</t>
        </is>
      </c>
      <c r="D3" s="9" t="inlineStr">
        <is>
          <t>TC-REG-03</t>
        </is>
      </c>
      <c r="E3" s="9" t="inlineStr">
        <is>
          <t>Newyear (Yatichapat Kanta)</t>
        </is>
      </c>
      <c r="F3" s="9" t="inlineStr"/>
      <c r="G3" s="9" t="inlineStr">
        <is>
          <t>Low</t>
        </is>
      </c>
      <c r="H3" s="9" t="inlineStr">
        <is>
          <t>Minor</t>
        </is>
      </c>
      <c r="I3" s="9" t="inlineStr">
        <is>
          <t>Open</t>
        </is>
      </c>
      <c r="J3" s="9" t="inlineStr">
        <is>
          <t>When confirmation does not match, "ตั้งรหัสผ่าน" stays enabled, while other rule failures disable it (inconsistent).</t>
        </is>
      </c>
      <c r="K3" s="9" t="inlineStr">
        <is>
          <t>1. Reach set-password page
2. Password QaAuto12345, confirm QaAuto12345x</t>
        </is>
      </c>
      <c r="L3" s="9" t="inlineStr">
        <is>
          <t>Button disabled like other rule failures</t>
        </is>
      </c>
      <c r="M3" s="9" t="inlineStr">
        <is>
          <t>Button enabled; only inline "รหัสผ่านไม่ตรงกัน"; click does nothing</t>
        </is>
      </c>
      <c r="N3" s="19">
        <f>HYPERLINK("https://github.com/Yatichapat6510/empeo-registration-tests/blob/main/docs/exploration/23-password-mismatch.png","23-password-mismatch.png")</f>
        <v/>
      </c>
      <c r="O3" s="9" t="inlineStr">
        <is>
          <t>UAT · Chromium · TH</t>
        </is>
      </c>
      <c r="P3" s="9" t="inlineStr">
        <is>
          <t>UX</t>
        </is>
      </c>
      <c r="Q3" s="9" t="inlineStr">
        <is>
          <t>Consistency</t>
        </is>
      </c>
      <c r="R3" s="9" t="inlineStr"/>
    </row>
    <row r="4">
      <c r="A4" s="9" t="inlineStr">
        <is>
          <t>BUG-03</t>
        </is>
      </c>
      <c r="B4" s="9" t="inlineStr">
        <is>
          <t>27/10/2026</t>
        </is>
      </c>
      <c r="C4" s="9" t="inlineStr">
        <is>
          <t>Registration form</t>
        </is>
      </c>
      <c r="D4" s="9" t="inlineStr">
        <is>
          <t>TC-EDGE-01/02/03</t>
        </is>
      </c>
      <c r="E4" s="9" t="inlineStr">
        <is>
          <t>Newyear (Yatichapat Kanta)</t>
        </is>
      </c>
      <c r="F4" s="9" t="inlineStr"/>
      <c r="G4" s="9" t="inlineStr">
        <is>
          <t>Low</t>
        </is>
      </c>
      <c r="H4" s="9" t="inlineStr">
        <is>
          <t>Trivial</t>
        </is>
      </c>
      <c r="I4" s="9" t="inlineStr">
        <is>
          <t>Open</t>
        </is>
      </c>
      <c r="J4" s="9" t="inlineStr">
        <is>
          <t>Phone field accepts "-" and up to 15 characters; format error only on submit.</t>
        </is>
      </c>
      <c r="K4" s="9" t="inlineStr">
        <is>
          <t>1. Type "-" or 15 digits in phone</t>
        </is>
      </c>
      <c r="L4" s="9" t="inlineStr">
        <is>
          <t>Only digits; length fits the selected country</t>
        </is>
      </c>
      <c r="M4" s="9" t="inlineStr">
        <is>
          <t>"-" accepted; 15 chars accepted</t>
        </is>
      </c>
      <c r="N4" s="19">
        <f>HYPERLINK("https://github.com/Yatichapat6510/empeo-registration-tests/blob/main/docs/exploration/16-phone-invalid.png","16-phone-invalid.png")</f>
        <v/>
      </c>
      <c r="O4" s="9" t="inlineStr">
        <is>
          <t>UAT · Chromium · TH</t>
        </is>
      </c>
      <c r="P4" s="9" t="inlineStr">
        <is>
          <t>Validation</t>
        </is>
      </c>
      <c r="Q4" s="9" t="inlineStr">
        <is>
          <t>Input mask</t>
        </is>
      </c>
      <c r="R4" s="9" t="inlineStr"/>
    </row>
    <row r="5">
      <c r="A5" s="9" t="inlineStr">
        <is>
          <t>BUG-04</t>
        </is>
      </c>
      <c r="B5" s="9" t="inlineStr">
        <is>
          <t>27/10/2026</t>
        </is>
      </c>
      <c r="C5" s="9" t="inlineStr">
        <is>
          <t>Promo code</t>
        </is>
      </c>
      <c r="D5" s="9" t="inlineStr">
        <is>
          <t>TC-PRM-04</t>
        </is>
      </c>
      <c r="E5" s="9" t="inlineStr">
        <is>
          <t>Newyear (Yatichapat Kanta)</t>
        </is>
      </c>
      <c r="F5" s="9" t="inlineStr"/>
      <c r="G5" s="9" t="inlineStr">
        <is>
          <t>Low</t>
        </is>
      </c>
      <c r="H5" s="9" t="inlineStr">
        <is>
          <t>Info</t>
        </is>
      </c>
      <c r="I5" s="9" t="inlineStr">
        <is>
          <t>Need clarification</t>
        </is>
      </c>
      <c r="J5" s="9" t="inlineStr">
        <is>
          <t>FREE15DAY is multi-use (usageCount &gt; 3,000, isLock=false). Expected rule for a "reused promo code" is unclear.</t>
        </is>
      </c>
      <c r="K5" s="9" t="inlineStr">
        <is>
          <t>1. Apply FREE15DAY in two sessions</t>
        </is>
      </c>
      <c r="L5" s="9" t="inlineStr">
        <is>
          <t>Per business rule (confirm with PO)</t>
        </is>
      </c>
      <c r="M5" s="9" t="inlineStr">
        <is>
          <t>Accepted both times</t>
        </is>
      </c>
      <c r="N5" s="19">
        <f>HYPERLINK("https://github.com/Yatichapat6510/empeo-registration-tests/blob/main/docs/exploration/10-promo-valid.png","10-promo-valid.png")</f>
        <v/>
      </c>
      <c r="O5" s="9" t="inlineStr">
        <is>
          <t>UAT · Chromium · TH</t>
        </is>
      </c>
      <c r="P5" s="9" t="inlineStr">
        <is>
          <t>Requirement</t>
        </is>
      </c>
      <c r="Q5" s="9" t="inlineStr">
        <is>
          <t>Clarification</t>
        </is>
      </c>
      <c r="R5" s="9" t="inlineStr"/>
    </row>
    <row r="6">
      <c r="A6" s="9" t="inlineStr">
        <is>
          <t>BUG-05</t>
        </is>
      </c>
      <c r="B6" s="9" t="inlineStr">
        <is>
          <t>27/10/2026</t>
        </is>
      </c>
      <c r="C6" s="9" t="inlineStr">
        <is>
          <t>Registration API</t>
        </is>
      </c>
      <c r="D6" s="9" t="inlineStr">
        <is>
          <t>TC-REG-01</t>
        </is>
      </c>
      <c r="E6" s="9" t="inlineStr">
        <is>
          <t>Newyear (Yatichapat Kanta)</t>
        </is>
      </c>
      <c r="F6" s="9" t="inlineStr"/>
      <c r="G6" s="9" t="inlineStr">
        <is>
          <t>Low</t>
        </is>
      </c>
      <c r="H6" s="9" t="inlineStr">
        <is>
          <t>Info</t>
        </is>
      </c>
      <c r="I6" s="9" t="inlineStr">
        <is>
          <t>Need clarification</t>
        </is>
      </c>
      <c r="J6" s="9" t="inlineStr">
        <is>
          <t>Same phone number can register many companies; no duplicate-phone block (duplicateInfo returns isDuplicate=false).</t>
        </is>
      </c>
      <c r="K6" s="9" t="inlineStr">
        <is>
          <t>1. Register twice with phone 0967690708</t>
        </is>
      </c>
      <c r="L6" s="9" t="inlineStr">
        <is>
          <t>Per business rule (confirm with PO)</t>
        </is>
      </c>
      <c r="M6" s="9" t="inlineStr">
        <is>
          <t>Both registrations reach OTP</t>
        </is>
      </c>
      <c r="N6" s="19">
        <f>HYPERLINK("https://github.com/Yatichapat6510/empeo-registration-tests/blob/main/docs/exploration/11-otp-page.png","11-otp-page.png")</f>
        <v/>
      </c>
      <c r="O6" s="9" t="inlineStr">
        <is>
          <t>UAT · Chromium · TH</t>
        </is>
      </c>
      <c r="P6" s="9" t="inlineStr">
        <is>
          <t>Requirement</t>
        </is>
      </c>
      <c r="Q6" s="9" t="inlineStr">
        <is>
          <t>Clarification</t>
        </is>
      </c>
      <c r="R6" s="9" t="inlineStr"/>
    </row>
    <row r="7">
      <c r="A7" s="9" t="inlineStr">
        <is>
          <t>BUG-06</t>
        </is>
      </c>
      <c r="B7" s="9" t="inlineStr">
        <is>
          <t>27/10/2026</t>
        </is>
      </c>
      <c r="C7" s="9" t="inlineStr">
        <is>
          <t>OTP → Set password</t>
        </is>
      </c>
      <c r="D7" s="9" t="inlineStr">
        <is>
          <t>TC-OTP-01, TC-OTP-03</t>
        </is>
      </c>
      <c r="E7" s="9" t="inlineStr">
        <is>
          <t>Newyear (Yatichapat Kanta)</t>
        </is>
      </c>
      <c r="F7" s="9" t="inlineStr"/>
      <c r="G7" s="9" t="inlineStr">
        <is>
          <t>Low</t>
        </is>
      </c>
      <c r="H7" s="9" t="inlineStr">
        <is>
          <t>Minor</t>
        </is>
      </c>
      <c r="I7" s="9" t="inlineStr">
        <is>
          <t>Observed (intermittent)</t>
        </is>
      </c>
      <c r="J7" s="9" t="inlineStr">
        <is>
          <t>After a correct OTP, the redirect to the set-password page sometimes takes more than 10 s on UAT. In the local run at 16:47, 2 of 35 tests failed on the 10 s wait although the page did open afterwards (see screenshot in the report).</t>
        </is>
      </c>
      <c r="K7" s="9" t="inlineStr">
        <is>
          <t>1. Submit valid form
2. Enter OTP 123456 → ยืนยัน
3. Measure time until /create-password opens</t>
        </is>
      </c>
      <c r="L7" s="9" t="inlineStr">
        <is>
          <t>Set-password page opens within a few seconds</t>
        </is>
      </c>
      <c r="M7" s="9" t="inlineStr">
        <is>
          <t>Took &gt; 10 s in 2 runs (UAT under load). Test wait raised to 30 s + 1 retry; reruns pass</t>
        </is>
      </c>
      <c r="N7" s="19">
        <f>HYPERLINK("https://github.com/Yatichapat6510/empeo-registration-tests/blob/main/docs/report/03-local-run-1647-otp01-failed.jpg","03-local-run-1647-otp01-failed.jpg")</f>
        <v/>
      </c>
      <c r="O7" s="9" t="inlineStr">
        <is>
          <t>UAT · Chromium · TH</t>
        </is>
      </c>
      <c r="P7" s="9" t="inlineStr">
        <is>
          <t>Performance</t>
        </is>
      </c>
      <c r="Q7" s="9" t="inlineStr">
        <is>
          <t>Environment / UAT</t>
        </is>
      </c>
      <c r="R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8" customWidth="1" min="4" max="4"/>
    <col width="36" customWidth="1" min="5" max="5"/>
  </cols>
  <sheetData>
    <row r="1">
      <c r="A1" s="22" t="inlineStr">
        <is>
          <t>#</t>
        </is>
      </c>
      <c r="B1" s="22" t="inlineStr">
        <is>
          <t>File (repo docs/)</t>
        </is>
      </c>
      <c r="C1" s="22" t="inlineStr">
        <is>
          <t>What it shows</t>
        </is>
      </c>
      <c r="D1" s="22" t="inlineStr">
        <is>
          <t>Link</t>
        </is>
      </c>
      <c r="E1" s="22" t="inlineStr">
        <is>
          <t>Preview</t>
        </is>
      </c>
    </row>
    <row r="2" ht="110" customHeight="1">
      <c r="A2" s="9" t="n">
        <v>1</v>
      </c>
      <c r="B2" s="9" t="inlineStr">
        <is>
          <t>01-register-form.png</t>
        </is>
      </c>
      <c r="C2" s="9" t="inlineStr">
        <is>
          <t>Registration form (default state)</t>
        </is>
      </c>
      <c r="D2" s="19">
        <f>HYPERLINK("https://github.com/Yatichapat6510/empeo-registration-tests/blob/main/docs/exploration/01-register-form.png","Open on GitHub")</f>
        <v/>
      </c>
      <c r="E2" s="9">
        <f>IMAGE("https://raw.githubusercontent.com/Yatichapat6510/empeo-registration-tests/main/docs/exploration/01-register-form.png")</f>
        <v/>
      </c>
    </row>
    <row r="3" ht="110" customHeight="1">
      <c r="A3" s="9" t="n">
        <v>2</v>
      </c>
      <c r="B3" s="9" t="inlineStr">
        <is>
          <t>02-empty-submit.png</t>
        </is>
      </c>
      <c r="C3" s="9" t="inlineStr">
        <is>
          <t>Required-field messages (TC-VAL-01)</t>
        </is>
      </c>
      <c r="D3" s="19">
        <f>HYPERLINK("https://github.com/Yatichapat6510/empeo-registration-tests/blob/main/docs/exploration/02-empty-submit.png","Open on GitHub")</f>
        <v/>
      </c>
      <c r="E3" s="9">
        <f>IMAGE("https://raw.githubusercontent.com/Yatichapat6510/empeo-registration-tests/main/docs/exploration/02-empty-submit.png")</f>
        <v/>
      </c>
    </row>
    <row r="4" ht="110" customHeight="1">
      <c r="A4" s="9" t="n">
        <v>3</v>
      </c>
      <c r="B4" s="9" t="inlineStr">
        <is>
          <t>08-promo-opened.png</t>
        </is>
      </c>
      <c r="C4" s="9" t="inlineStr">
        <is>
          <t>Promo field opened</t>
        </is>
      </c>
      <c r="D4" s="19">
        <f>HYPERLINK("https://github.com/Yatichapat6510/empeo-registration-tests/blob/main/docs/exploration/08-promo-opened.png","Open on GitHub")</f>
        <v/>
      </c>
      <c r="E4" s="9">
        <f>IMAGE("https://raw.githubusercontent.com/Yatichapat6510/empeo-registration-tests/main/docs/exploration/08-promo-opened.png")</f>
        <v/>
      </c>
    </row>
    <row r="5" ht="110" customHeight="1">
      <c r="A5" s="9" t="n">
        <v>4</v>
      </c>
      <c r="B5" s="9" t="inlineStr">
        <is>
          <t>09-promo-invalid.png</t>
        </is>
      </c>
      <c r="C5" s="9" t="inlineStr">
        <is>
          <t>Invalid promo message (TC-PRM-02)</t>
        </is>
      </c>
      <c r="D5" s="19">
        <f>HYPERLINK("https://github.com/Yatichapat6510/empeo-registration-tests/blob/main/docs/exploration/09-promo-invalid.png","Open on GitHub")</f>
        <v/>
      </c>
      <c r="E5" s="9">
        <f>IMAGE("https://raw.githubusercontent.com/Yatichapat6510/empeo-registration-tests/main/docs/exploration/09-promo-invalid.png")</f>
        <v/>
      </c>
    </row>
    <row r="6" ht="110" customHeight="1">
      <c r="A6" s="9" t="n">
        <v>5</v>
      </c>
      <c r="B6" s="9" t="inlineStr">
        <is>
          <t>10-promo-valid.png</t>
        </is>
      </c>
      <c r="C6" s="9" t="inlineStr">
        <is>
          <t>FREE15DAY applied (TC-PRM-01)</t>
        </is>
      </c>
      <c r="D6" s="19">
        <f>HYPERLINK("https://github.com/Yatichapat6510/empeo-registration-tests/blob/main/docs/exploration/10-promo-valid.png","Open on GitHub")</f>
        <v/>
      </c>
      <c r="E6" s="9">
        <f>IMAGE("https://raw.githubusercontent.com/Yatichapat6510/empeo-registration-tests/main/docs/exploration/10-promo-valid.png")</f>
        <v/>
      </c>
    </row>
    <row r="7" ht="110" customHeight="1">
      <c r="A7" s="9" t="n">
        <v>6</v>
      </c>
      <c r="B7" s="9" t="inlineStr">
        <is>
          <t>11-otp-page.png</t>
        </is>
      </c>
      <c r="C7" s="9" t="inlineStr">
        <is>
          <t>OTP dialog (TC-REG-01)</t>
        </is>
      </c>
      <c r="D7" s="19">
        <f>HYPERLINK("https://github.com/Yatichapat6510/empeo-registration-tests/blob/main/docs/exploration/11-otp-page.png","Open on GitHub")</f>
        <v/>
      </c>
      <c r="E7" s="9">
        <f>IMAGE("https://raw.githubusercontent.com/Yatichapat6510/empeo-registration-tests/main/docs/exploration/11-otp-page.png")</f>
        <v/>
      </c>
    </row>
    <row r="8" ht="110" customHeight="1">
      <c r="A8" s="9" t="n">
        <v>7</v>
      </c>
      <c r="B8" s="9" t="inlineStr">
        <is>
          <t>12-no-consent.png</t>
        </is>
      </c>
      <c r="C8" s="9" t="inlineStr">
        <is>
          <t>Consent not ticked – nothing happens (BUG-01)</t>
        </is>
      </c>
      <c r="D8" s="19">
        <f>HYPERLINK("https://github.com/Yatichapat6510/empeo-registration-tests/blob/main/docs/exploration/12-no-consent.png","Open on GitHub")</f>
        <v/>
      </c>
      <c r="E8" s="9">
        <f>IMAGE("https://raw.githubusercontent.com/Yatichapat6510/empeo-registration-tests/main/docs/exploration/12-no-consent.png")</f>
        <v/>
      </c>
    </row>
    <row r="9" ht="110" customHeight="1">
      <c r="A9" s="9" t="n">
        <v>8</v>
      </c>
      <c r="B9" s="9" t="inlineStr">
        <is>
          <t>13-otp-wrong.png</t>
        </is>
      </c>
      <c r="C9" s="9" t="inlineStr">
        <is>
          <t>Wrong OTP toast (TC-OTP-02)</t>
        </is>
      </c>
      <c r="D9" s="19">
        <f>HYPERLINK("https://github.com/Yatichapat6510/empeo-registration-tests/blob/main/docs/exploration/13-otp-wrong.png","Open on GitHub")</f>
        <v/>
      </c>
      <c r="E9" s="9">
        <f>IMAGE("https://raw.githubusercontent.com/Yatichapat6510/empeo-registration-tests/main/docs/exploration/13-otp-wrong.png")</f>
        <v/>
      </c>
    </row>
    <row r="10" ht="110" customHeight="1">
      <c r="A10" s="9" t="n">
        <v>9</v>
      </c>
      <c r="B10" s="9" t="inlineStr">
        <is>
          <t>14-otp-correct-filled.png</t>
        </is>
      </c>
      <c r="C10" s="9" t="inlineStr">
        <is>
          <t>OTP 123456 entered</t>
        </is>
      </c>
      <c r="D10" s="19">
        <f>HYPERLINK("https://github.com/Yatichapat6510/empeo-registration-tests/blob/main/docs/exploration/14-otp-correct-filled.png","Open on GitHub")</f>
        <v/>
      </c>
      <c r="E10" s="9">
        <f>IMAGE("https://raw.githubusercontent.com/Yatichapat6510/empeo-registration-tests/main/docs/exploration/14-otp-correct-filled.png")</f>
        <v/>
      </c>
    </row>
    <row r="11" ht="110" customHeight="1">
      <c r="A11" s="9" t="n">
        <v>10</v>
      </c>
      <c r="B11" s="9" t="inlineStr">
        <is>
          <t>15-success.png</t>
        </is>
      </c>
      <c r="C11" s="9" t="inlineStr">
        <is>
          <t>Set-password page after correct OTP</t>
        </is>
      </c>
      <c r="D11" s="19">
        <f>HYPERLINK("https://github.com/Yatichapat6510/empeo-registration-tests/blob/main/docs/exploration/15-success.png","Open on GitHub")</f>
        <v/>
      </c>
      <c r="E11" s="9">
        <f>IMAGE("https://raw.githubusercontent.com/Yatichapat6510/empeo-registration-tests/main/docs/exploration/15-success.png")</f>
        <v/>
      </c>
    </row>
    <row r="12" ht="110" customHeight="1">
      <c r="A12" s="9" t="n">
        <v>11</v>
      </c>
      <c r="B12" s="9" t="inlineStr">
        <is>
          <t>16-phone-invalid.png</t>
        </is>
      </c>
      <c r="C12" s="9" t="inlineStr">
        <is>
          <t>Invalid phone message (TC-EDGE-01)</t>
        </is>
      </c>
      <c r="D12" s="19">
        <f>HYPERLINK("https://github.com/Yatichapat6510/empeo-registration-tests/blob/main/docs/exploration/16-phone-invalid.png","Open on GitHub")</f>
        <v/>
      </c>
      <c r="E12" s="9">
        <f>IMAGE("https://raw.githubusercontent.com/Yatichapat6510/empeo-registration-tests/main/docs/exploration/16-phone-invalid.png")</f>
        <v/>
      </c>
    </row>
    <row r="13" ht="110" customHeight="1">
      <c r="A13" s="9" t="n">
        <v>12</v>
      </c>
      <c r="B13" s="9" t="inlineStr">
        <is>
          <t>17-create-password.png</t>
        </is>
      </c>
      <c r="C13" s="9" t="inlineStr">
        <is>
          <t>Set-password page</t>
        </is>
      </c>
      <c r="D13" s="19">
        <f>HYPERLINK("https://github.com/Yatichapat6510/empeo-registration-tests/blob/main/docs/exploration/17-create-password.png","Open on GitHub")</f>
        <v/>
      </c>
      <c r="E13" s="9">
        <f>IMAGE("https://raw.githubusercontent.com/Yatichapat6510/empeo-registration-tests/main/docs/exploration/17-create-password.png")</f>
        <v/>
      </c>
    </row>
    <row r="14" ht="110" customHeight="1">
      <c r="A14" s="9" t="n">
        <v>13</v>
      </c>
      <c r="B14" s="9" t="inlineStr">
        <is>
          <t>19-after-password.png</t>
        </is>
      </c>
      <c r="C14" s="9" t="inlineStr">
        <is>
          <t>"empeo พร้อมใช้งานแล้ว!" success screen</t>
        </is>
      </c>
      <c r="D14" s="19">
        <f>HYPERLINK("https://github.com/Yatichapat6510/empeo-registration-tests/blob/main/docs/exploration/19-after-password.png","Open on GitHub")</f>
        <v/>
      </c>
      <c r="E14" s="9">
        <f>IMAGE("https://raw.githubusercontent.com/Yatichapat6510/empeo-registration-tests/main/docs/exploration/19-after-password.png")</f>
        <v/>
      </c>
    </row>
    <row r="15" ht="110" customHeight="1">
      <c r="A15" s="9" t="n">
        <v>14</v>
      </c>
      <c r="B15" s="9" t="inlineStr">
        <is>
          <t>20-email-invalid.png</t>
        </is>
      </c>
      <c r="C15" s="9" t="inlineStr">
        <is>
          <t>Invalid e-mail message (TC-VAL-03)</t>
        </is>
      </c>
      <c r="D15" s="19">
        <f>HYPERLINK("https://github.com/Yatichapat6510/empeo-registration-tests/blob/main/docs/exploration/20-email-invalid.png","Open on GitHub")</f>
        <v/>
      </c>
      <c r="E15" s="9">
        <f>IMAGE("https://raw.githubusercontent.com/Yatichapat6510/empeo-registration-tests/main/docs/exploration/20-email-invalid.png")</f>
        <v/>
      </c>
    </row>
    <row r="16" ht="110" customHeight="1">
      <c r="A16" s="9" t="n">
        <v>15</v>
      </c>
      <c r="B16" s="9" t="inlineStr">
        <is>
          <t>21-email-dup-domain.png</t>
        </is>
      </c>
      <c r="C16" s="9" t="inlineStr">
        <is>
          <t>Duplicate domain message (TC-VAL-04)</t>
        </is>
      </c>
      <c r="D16" s="19">
        <f>HYPERLINK("https://github.com/Yatichapat6510/empeo-registration-tests/blob/main/docs/exploration/21-email-dup-domain.png","Open on GitHub")</f>
        <v/>
      </c>
      <c r="E16" s="9">
        <f>IMAGE("https://raw.githubusercontent.com/Yatichapat6510/empeo-registration-tests/main/docs/exploration/21-email-dup-domain.png")</f>
        <v/>
      </c>
    </row>
    <row r="17" ht="110" customHeight="1">
      <c r="A17" s="9" t="n">
        <v>16</v>
      </c>
      <c r="B17" s="9" t="inlineStr">
        <is>
          <t>22-otp-resent.png</t>
        </is>
      </c>
      <c r="C17" s="9" t="inlineStr">
        <is>
          <t>OTP resent, new ref (TC-OTP-06)</t>
        </is>
      </c>
      <c r="D17" s="19">
        <f>HYPERLINK("https://github.com/Yatichapat6510/empeo-registration-tests/blob/main/docs/exploration/22-otp-resent.png","Open on GitHub")</f>
        <v/>
      </c>
      <c r="E17" s="9">
        <f>IMAGE("https://raw.githubusercontent.com/Yatichapat6510/empeo-registration-tests/main/docs/exploration/22-otp-resent.png")</f>
        <v/>
      </c>
    </row>
    <row r="18" ht="110" customHeight="1">
      <c r="A18" s="9" t="n">
        <v>17</v>
      </c>
      <c r="B18" s="9" t="inlineStr">
        <is>
          <t>23-password-mismatch.png</t>
        </is>
      </c>
      <c r="C18" s="9" t="inlineStr">
        <is>
          <t>Password mismatch (BUG-02)</t>
        </is>
      </c>
      <c r="D18" s="19">
        <f>HYPERLINK("https://github.com/Yatichapat6510/empeo-registration-tests/blob/main/docs/exploration/23-password-mismatch.png","Open on GitHub")</f>
        <v/>
      </c>
      <c r="E18" s="9">
        <f>IMAGE("https://raw.githubusercontent.com/Yatichapat6510/empeo-registration-tests/main/docs/exploration/23-password-mismatch.png")</f>
        <v/>
      </c>
    </row>
    <row r="19" ht="110" customHeight="1">
      <c r="A19" s="9" t="n">
        <v>18</v>
      </c>
      <c r="B19" s="9" t="inlineStr">
        <is>
          <t>report/01-html-report-summary.jpg</t>
        </is>
      </c>
      <c r="C19" s="9" t="inlineStr">
        <is>
          <t>HTML report – 35/35 passed (video run 16:08)</t>
        </is>
      </c>
      <c r="D19" s="19">
        <f>HYPERLINK("https://github.com/Yatichapat6510/empeo-registration-tests/blob/main/docs/report/01-html-report-summary.jpg","Open on GitHub")</f>
        <v/>
      </c>
      <c r="E19" s="9">
        <f>IMAGE("https://raw.githubusercontent.com/Yatichapat6510/empeo-registration-tests/main/docs/report/01-html-report-summary.jpg")</f>
        <v/>
      </c>
    </row>
    <row r="20" ht="110" customHeight="1">
      <c r="A20" s="9" t="n">
        <v>19</v>
      </c>
      <c r="B20" s="9" t="inlineStr">
        <is>
          <t>report/02-tc-reg-01-steps.jpg</t>
        </is>
      </c>
      <c r="C20" s="9" t="inlineStr">
        <is>
          <t>HTML report – TC-REG-01 steps, final screenshot, trace and video</t>
        </is>
      </c>
      <c r="D20" s="19">
        <f>HYPERLINK("https://github.com/Yatichapat6510/empeo-registration-tests/blob/main/docs/report/02-tc-reg-01-steps.jpg","Open on GitHub")</f>
        <v/>
      </c>
      <c r="E20" s="9">
        <f>IMAGE("https://raw.githubusercontent.com/Yatichapat6510/empeo-registration-tests/main/docs/report/02-tc-reg-01-steps.jpg")</f>
        <v/>
      </c>
    </row>
    <row r="21" ht="110" customHeight="1">
      <c r="A21" s="9" t="n">
        <v>20</v>
      </c>
      <c r="B21" s="9" t="inlineStr">
        <is>
          <t>report/03-local-run-1647-otp01-failed.jpg</t>
        </is>
      </c>
      <c r="C21" s="9" t="inlineStr">
        <is>
          <t>HTML report – run 16:47, TC-OTP-01 failed on 10 s wait; page did open (BUG-06)</t>
        </is>
      </c>
      <c r="D21" s="19">
        <f>HYPERLINK("https://github.com/Yatichapat6510/empeo-registration-tests/blob/main/docs/report/03-local-run-1647-otp01-failed.jpg","Open on GitHub")</f>
        <v/>
      </c>
      <c r="E21" s="9">
        <f>IMAGE("https://raw.githubusercontent.com/Yatichapat6510/empeo-registration-tests/main/docs/report/03-local-run-1647-otp01-failed.jpg")</f>
        <v/>
      </c>
    </row>
    <row r="22" ht="110" customHeight="1">
      <c r="A22" s="9" t="n">
        <v>21</v>
      </c>
      <c r="B22" s="9" t="inlineStr">
        <is>
          <t>submission/00-submission-card.jpg</t>
        </is>
      </c>
      <c r="C22" s="9" t="inlineStr">
        <is>
          <t>Submission card (summary + links)</t>
        </is>
      </c>
      <c r="D22" s="19">
        <f>HYPERLINK("https://github.com/Yatichapat6510/empeo-registration-tests/blob/main/docs/submission/00-submission-card.jpg","Open on GitHub")</f>
        <v/>
      </c>
      <c r="E22" s="9">
        <f>IMAGE("https://raw.githubusercontent.com/Yatichapat6510/empeo-registration-tests/main/docs/submission/00-submission-card.jpg")</f>
        <v/>
      </c>
    </row>
    <row r="24">
      <c r="B24" s="18" t="inlineStr">
        <is>
          <t>Videos and folders</t>
        </is>
      </c>
    </row>
    <row r="25">
      <c r="B25" s="14" t="inlineStr">
        <is>
          <t>Headed run, screen recording (Drive / Video)</t>
        </is>
      </c>
      <c r="D25" s="23">
        <f>HYPERLINK("https://drive.google.com/file/d/15qjjIL-YVDhUihsYCpx1IiIzDr7kI9Cy/view","Open")</f>
        <v/>
      </c>
    </row>
    <row r="26">
      <c r="B26" s="14" t="inlineStr">
        <is>
          <t>Playwright recording of all 35 tests, 8 min (GitHub)</t>
        </is>
      </c>
      <c r="D26" s="23">
        <f>HYPERLINK("https://github.com/Yatichapat6510/empeo-registration-tests/blob/main/docs/demo/automation-run.mp4","Open")</f>
        <v/>
      </c>
    </row>
    <row r="27">
      <c r="B27" s="14" t="inlineStr">
        <is>
          <t>Drive folder (workbook, Evident Photo, Video)</t>
        </is>
      </c>
      <c r="D27" s="23">
        <f>HYPERLINK("https://drive.google.com/drive/folders/1X-i7e-JlTXuE6q1Cv5BMVRRIkGONhn_q","Open")</f>
        <v/>
      </c>
    </row>
    <row r="28">
      <c r="B28" s="14" t="inlineStr">
        <is>
          <t>GitHub repository</t>
        </is>
      </c>
      <c r="D28" s="23">
        <f>HYPERLINK("https://github.com/Yatichapat6510/empeo-registration-tests","Open")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2026-10-27T10:17:20Z</dcterms:created>
  <dcterms:modified xmlns:dcterms="http://purl.org/dc/terms/" xmlns:xsi="http://www.w3.org/2001/XMLSchema-instance" xsi:type="dcterms:W3CDTF">2026-10-27T10:17:20Z</dcterms:modified>
</cp:coreProperties>
</file>